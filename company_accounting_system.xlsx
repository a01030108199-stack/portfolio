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5" activeTab="22"/>
  </bookViews>
  <sheets>
    <sheet name="الصفحه الرئيسيه" sheetId="1" r:id="rId1"/>
    <sheet name="دليل الحسابات" sheetId="2" r:id="rId2"/>
    <sheet name="ارصده افتتاحيه" sheetId="3" r:id="rId3"/>
    <sheet name="1" sheetId="32" r:id="rId4"/>
    <sheet name="2" sheetId="34" r:id="rId5"/>
    <sheet name="3" sheetId="35" r:id="rId6"/>
    <sheet name="4" sheetId="36" r:id="rId7"/>
    <sheet name="5" sheetId="37" r:id="rId8"/>
    <sheet name="6" sheetId="38" r:id="rId9"/>
    <sheet name="7" sheetId="39" r:id="rId10"/>
    <sheet name="8" sheetId="40" r:id="rId11"/>
    <sheet name="9" sheetId="41" r:id="rId12"/>
    <sheet name="10" sheetId="42" r:id="rId13"/>
    <sheet name="11" sheetId="43" r:id="rId14"/>
    <sheet name="12" sheetId="44" r:id="rId15"/>
    <sheet name="تسويات" sheetId="45" r:id="rId16"/>
    <sheet name="الاستاذ العام" sheetId="31" r:id="rId17"/>
    <sheet name="ميزان المراجعه" sheetId="48" r:id="rId18"/>
    <sheet name="تحليل العملاء" sheetId="52" r:id="rId19"/>
    <sheet name="تحليل الموردين" sheetId="53" r:id="rId20"/>
    <sheet name="مصروفات الشركة" sheetId="54" r:id="rId21"/>
    <sheet name="ايرادات الشركة" sheetId="55" r:id="rId22"/>
    <sheet name="الاهلاكات" sheetId="56" r:id="rId23"/>
  </sheets>
  <definedNames>
    <definedName name="_xlnm._FilterDatabase" localSheetId="22" hidden="1">الاهلاكات!$F$10:$F$25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56" l="1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K11" i="56"/>
  <c r="K12" i="56"/>
  <c r="K13" i="56"/>
  <c r="K10" i="56"/>
  <c r="J12" i="56"/>
  <c r="J14" i="56"/>
  <c r="J15" i="56"/>
  <c r="J16" i="56"/>
  <c r="J17" i="56"/>
  <c r="J18" i="56"/>
  <c r="J19" i="56"/>
  <c r="J20" i="56"/>
  <c r="J21" i="56"/>
  <c r="J22" i="56"/>
  <c r="J23" i="56"/>
  <c r="J24" i="56"/>
  <c r="J25" i="56"/>
  <c r="J11" i="56"/>
  <c r="J10" i="56"/>
  <c r="I10" i="56"/>
  <c r="I11" i="56"/>
  <c r="I12" i="56"/>
  <c r="I13" i="56"/>
  <c r="J13" i="56" s="1"/>
  <c r="I14" i="56"/>
  <c r="I15" i="56"/>
  <c r="I16" i="56"/>
  <c r="I18" i="56"/>
  <c r="I19" i="56"/>
  <c r="I20" i="56"/>
  <c r="I21" i="56"/>
  <c r="I22" i="56"/>
  <c r="I23" i="56"/>
  <c r="I24" i="56"/>
  <c r="I25" i="56"/>
  <c r="I17" i="56"/>
  <c r="K10" i="55"/>
  <c r="K26" i="55" s="1"/>
  <c r="O10" i="55"/>
  <c r="K11" i="55"/>
  <c r="O11" i="55"/>
  <c r="K12" i="55"/>
  <c r="O12" i="55"/>
  <c r="K13" i="55"/>
  <c r="O13" i="55"/>
  <c r="K14" i="55"/>
  <c r="O14" i="55"/>
  <c r="K15" i="55"/>
  <c r="O15" i="55"/>
  <c r="K16" i="55"/>
  <c r="O16" i="55"/>
  <c r="K17" i="55"/>
  <c r="O17" i="55"/>
  <c r="K18" i="55"/>
  <c r="O18" i="55"/>
  <c r="K19" i="55"/>
  <c r="O19" i="55"/>
  <c r="K20" i="55"/>
  <c r="O20" i="55"/>
  <c r="K21" i="55"/>
  <c r="O21" i="55"/>
  <c r="K22" i="55"/>
  <c r="K23" i="55"/>
  <c r="K24" i="55"/>
  <c r="K25" i="55"/>
  <c r="E10" i="55"/>
  <c r="N10" i="55" s="1"/>
  <c r="E11" i="55"/>
  <c r="N17" i="55" s="1"/>
  <c r="E12" i="55"/>
  <c r="E13" i="55"/>
  <c r="E14" i="55"/>
  <c r="H26" i="56"/>
  <c r="G26" i="56"/>
  <c r="F26" i="56"/>
  <c r="H26" i="55"/>
  <c r="G26" i="55"/>
  <c r="F26" i="55"/>
  <c r="N21" i="55" l="1"/>
  <c r="N18" i="55"/>
  <c r="N14" i="55"/>
  <c r="N19" i="55"/>
  <c r="N15" i="55"/>
  <c r="N11" i="55"/>
  <c r="N20" i="55"/>
  <c r="N16" i="55"/>
  <c r="N12" i="55"/>
  <c r="N13" i="55"/>
  <c r="Q10" i="54"/>
  <c r="R10" i="54"/>
  <c r="Q11" i="54"/>
  <c r="R11" i="54"/>
  <c r="Q12" i="54"/>
  <c r="R12" i="54"/>
  <c r="Q13" i="54"/>
  <c r="R13" i="54"/>
  <c r="Q14" i="54"/>
  <c r="R14" i="54"/>
  <c r="Q15" i="54"/>
  <c r="R15" i="54"/>
  <c r="Q16" i="54"/>
  <c r="R16" i="54"/>
  <c r="Q17" i="54"/>
  <c r="R17" i="54"/>
  <c r="Q18" i="54"/>
  <c r="R18" i="54"/>
  <c r="Q19" i="54"/>
  <c r="R19" i="54"/>
  <c r="Q20" i="54"/>
  <c r="R20" i="54"/>
  <c r="P11" i="54"/>
  <c r="P12" i="54"/>
  <c r="P13" i="54"/>
  <c r="P14" i="54"/>
  <c r="P15" i="54"/>
  <c r="P16" i="54"/>
  <c r="P17" i="54"/>
  <c r="P18" i="54"/>
  <c r="P19" i="54"/>
  <c r="P20" i="54"/>
  <c r="P21" i="54"/>
  <c r="P10" i="54"/>
  <c r="L11" i="54"/>
  <c r="M11" i="54" s="1"/>
  <c r="L12" i="54"/>
  <c r="M12" i="54" s="1"/>
  <c r="L13" i="54"/>
  <c r="M13" i="54" s="1"/>
  <c r="L14" i="54"/>
  <c r="M14" i="54" s="1"/>
  <c r="L15" i="54"/>
  <c r="M15" i="54" s="1"/>
  <c r="L16" i="54"/>
  <c r="M16" i="54" s="1"/>
  <c r="L17" i="54"/>
  <c r="M17" i="54" s="1"/>
  <c r="L18" i="54"/>
  <c r="M18" i="54" s="1"/>
  <c r="L19" i="54"/>
  <c r="M19" i="54" s="1"/>
  <c r="L20" i="54"/>
  <c r="M20" i="54" s="1"/>
  <c r="L21" i="54"/>
  <c r="M21" i="54" s="1"/>
  <c r="L22" i="54"/>
  <c r="M22" i="54" s="1"/>
  <c r="L23" i="54"/>
  <c r="M23" i="54" s="1"/>
  <c r="L24" i="54"/>
  <c r="M24" i="54" s="1"/>
  <c r="L25" i="54"/>
  <c r="M25" i="54" s="1"/>
  <c r="K11" i="54"/>
  <c r="K12" i="54"/>
  <c r="K13" i="54"/>
  <c r="K14" i="54"/>
  <c r="K15" i="54"/>
  <c r="K16" i="54"/>
  <c r="K17" i="54"/>
  <c r="K18" i="54"/>
  <c r="K19" i="54"/>
  <c r="K20" i="54"/>
  <c r="K21" i="54"/>
  <c r="K22" i="54"/>
  <c r="K23" i="54"/>
  <c r="K24" i="54"/>
  <c r="K25" i="54"/>
  <c r="L10" i="54"/>
  <c r="E13" i="54"/>
  <c r="E14" i="54"/>
  <c r="E11" i="54"/>
  <c r="E12" i="54"/>
  <c r="K10" i="54"/>
  <c r="E10" i="54"/>
  <c r="L26" i="54" l="1"/>
  <c r="M10" i="54"/>
  <c r="M26" i="54" s="1"/>
  <c r="H26" i="54"/>
  <c r="G26" i="54"/>
  <c r="F26" i="54"/>
  <c r="K26" i="54"/>
  <c r="P26" i="53"/>
  <c r="M26" i="53"/>
  <c r="L26" i="53"/>
  <c r="K26" i="53"/>
  <c r="J26" i="53"/>
  <c r="I26" i="53"/>
  <c r="H26" i="53"/>
  <c r="G26" i="53"/>
  <c r="F26" i="53"/>
  <c r="U25" i="53"/>
  <c r="T25" i="53"/>
  <c r="S25" i="53"/>
  <c r="R25" i="53"/>
  <c r="P25" i="53"/>
  <c r="M25" i="53"/>
  <c r="K25" i="53"/>
  <c r="I25" i="53"/>
  <c r="U24" i="53"/>
  <c r="T24" i="53"/>
  <c r="S24" i="53"/>
  <c r="R24" i="53"/>
  <c r="P24" i="53"/>
  <c r="M24" i="53"/>
  <c r="K24" i="53"/>
  <c r="I24" i="53"/>
  <c r="H24" i="53"/>
  <c r="U23" i="53"/>
  <c r="T23" i="53"/>
  <c r="S23" i="53"/>
  <c r="R23" i="53"/>
  <c r="P23" i="53"/>
  <c r="M23" i="53"/>
  <c r="K23" i="53"/>
  <c r="I23" i="53"/>
  <c r="H23" i="53"/>
  <c r="U22" i="53"/>
  <c r="T22" i="53"/>
  <c r="S22" i="53"/>
  <c r="R22" i="53"/>
  <c r="P22" i="53"/>
  <c r="M22" i="53"/>
  <c r="K22" i="53"/>
  <c r="I22" i="53"/>
  <c r="H22" i="53"/>
  <c r="U21" i="53"/>
  <c r="T21" i="53"/>
  <c r="S21" i="53"/>
  <c r="R21" i="53"/>
  <c r="P21" i="53"/>
  <c r="M21" i="53"/>
  <c r="K21" i="53"/>
  <c r="I21" i="53"/>
  <c r="H21" i="53"/>
  <c r="U20" i="53"/>
  <c r="T20" i="53"/>
  <c r="S20" i="53"/>
  <c r="R20" i="53"/>
  <c r="P20" i="53"/>
  <c r="M20" i="53"/>
  <c r="K20" i="53"/>
  <c r="I20" i="53"/>
  <c r="H20" i="53"/>
  <c r="U19" i="53"/>
  <c r="T19" i="53"/>
  <c r="S19" i="53"/>
  <c r="R19" i="53"/>
  <c r="P19" i="53"/>
  <c r="M19" i="53"/>
  <c r="K19" i="53"/>
  <c r="I19" i="53"/>
  <c r="H19" i="53"/>
  <c r="U18" i="53"/>
  <c r="T18" i="53"/>
  <c r="S18" i="53"/>
  <c r="R18" i="53"/>
  <c r="P18" i="53"/>
  <c r="M18" i="53"/>
  <c r="K18" i="53"/>
  <c r="I18" i="53"/>
  <c r="H18" i="53"/>
  <c r="U17" i="53"/>
  <c r="T17" i="53"/>
  <c r="S17" i="53"/>
  <c r="R17" i="53"/>
  <c r="P17" i="53"/>
  <c r="M17" i="53"/>
  <c r="K17" i="53"/>
  <c r="I17" i="53"/>
  <c r="H17" i="53"/>
  <c r="U16" i="53"/>
  <c r="T16" i="53"/>
  <c r="S16" i="53"/>
  <c r="R16" i="53"/>
  <c r="P16" i="53"/>
  <c r="M16" i="53"/>
  <c r="K16" i="53"/>
  <c r="I16" i="53"/>
  <c r="H16" i="53"/>
  <c r="U15" i="53"/>
  <c r="T15" i="53"/>
  <c r="S15" i="53"/>
  <c r="R15" i="53"/>
  <c r="P15" i="53"/>
  <c r="M15" i="53"/>
  <c r="K15" i="53"/>
  <c r="I15" i="53"/>
  <c r="H15" i="53"/>
  <c r="U14" i="53"/>
  <c r="T14" i="53"/>
  <c r="S14" i="53"/>
  <c r="R14" i="53"/>
  <c r="P14" i="53"/>
  <c r="M14" i="53"/>
  <c r="K14" i="53"/>
  <c r="I14" i="53"/>
  <c r="H14" i="53"/>
  <c r="E14" i="53"/>
  <c r="U13" i="53"/>
  <c r="T13" i="53"/>
  <c r="S13" i="53"/>
  <c r="R13" i="53"/>
  <c r="P13" i="53"/>
  <c r="M13" i="53"/>
  <c r="K13" i="53"/>
  <c r="I13" i="53"/>
  <c r="H13" i="53"/>
  <c r="E13" i="53"/>
  <c r="U12" i="53"/>
  <c r="T12" i="53"/>
  <c r="S12" i="53"/>
  <c r="R12" i="53"/>
  <c r="P12" i="53"/>
  <c r="M12" i="53"/>
  <c r="K12" i="53"/>
  <c r="I12" i="53"/>
  <c r="H12" i="53"/>
  <c r="E12" i="53"/>
  <c r="U11" i="53"/>
  <c r="T11" i="53"/>
  <c r="S11" i="53"/>
  <c r="R11" i="53"/>
  <c r="P11" i="53"/>
  <c r="M11" i="53"/>
  <c r="K11" i="53"/>
  <c r="I11" i="53"/>
  <c r="H11" i="53"/>
  <c r="E11" i="53"/>
  <c r="U10" i="53"/>
  <c r="T10" i="53"/>
  <c r="S10" i="53"/>
  <c r="R10" i="53"/>
  <c r="P10" i="53"/>
  <c r="M10" i="53"/>
  <c r="K10" i="53"/>
  <c r="I10" i="53"/>
  <c r="H10" i="53"/>
  <c r="E10" i="53"/>
  <c r="Q26" i="52"/>
  <c r="N26" i="52"/>
  <c r="M26" i="52"/>
  <c r="L26" i="52"/>
  <c r="K26" i="52"/>
  <c r="J26" i="52"/>
  <c r="I26" i="52"/>
  <c r="H26" i="52"/>
  <c r="G26" i="52"/>
  <c r="S25" i="52"/>
  <c r="Q25" i="52"/>
  <c r="N25" i="52"/>
  <c r="L25" i="52"/>
  <c r="J25" i="52"/>
  <c r="S24" i="52"/>
  <c r="Q24" i="52"/>
  <c r="N24" i="52"/>
  <c r="L24" i="52"/>
  <c r="J24" i="52"/>
  <c r="I24" i="52"/>
  <c r="S23" i="52"/>
  <c r="Q23" i="52"/>
  <c r="N23" i="52"/>
  <c r="L23" i="52"/>
  <c r="J23" i="52"/>
  <c r="I23" i="52"/>
  <c r="S22" i="52"/>
  <c r="Q22" i="52"/>
  <c r="N22" i="52"/>
  <c r="L22" i="52"/>
  <c r="J22" i="52"/>
  <c r="I22" i="52"/>
  <c r="S21" i="52"/>
  <c r="Q21" i="52"/>
  <c r="N21" i="52"/>
  <c r="L21" i="52"/>
  <c r="J21" i="52"/>
  <c r="I21" i="52"/>
  <c r="S20" i="52"/>
  <c r="Q20" i="52"/>
  <c r="N20" i="52"/>
  <c r="L20" i="52"/>
  <c r="J20" i="52"/>
  <c r="I20" i="52"/>
  <c r="S19" i="52"/>
  <c r="Q19" i="52"/>
  <c r="N19" i="52"/>
  <c r="L19" i="52"/>
  <c r="J19" i="52"/>
  <c r="I19" i="52"/>
  <c r="S18" i="52"/>
  <c r="Q18" i="52"/>
  <c r="N18" i="52"/>
  <c r="L18" i="52"/>
  <c r="J18" i="52"/>
  <c r="I18" i="52"/>
  <c r="S17" i="52"/>
  <c r="Q17" i="52"/>
  <c r="N17" i="52"/>
  <c r="L17" i="52"/>
  <c r="J17" i="52"/>
  <c r="I17" i="52"/>
  <c r="S16" i="52"/>
  <c r="Q16" i="52"/>
  <c r="N16" i="52"/>
  <c r="L16" i="52"/>
  <c r="J16" i="52"/>
  <c r="I16" i="52"/>
  <c r="S15" i="52"/>
  <c r="Q15" i="52"/>
  <c r="N15" i="52"/>
  <c r="L15" i="52"/>
  <c r="J15" i="52"/>
  <c r="I15" i="52"/>
  <c r="S14" i="52"/>
  <c r="Q14" i="52"/>
  <c r="N14" i="52"/>
  <c r="L14" i="52"/>
  <c r="J14" i="52"/>
  <c r="I14" i="52"/>
  <c r="F14" i="52"/>
  <c r="S13" i="52"/>
  <c r="Q13" i="52"/>
  <c r="N13" i="52"/>
  <c r="L13" i="52"/>
  <c r="J13" i="52"/>
  <c r="I13" i="52"/>
  <c r="F13" i="52"/>
  <c r="S12" i="52"/>
  <c r="Q12" i="52"/>
  <c r="N12" i="52"/>
  <c r="L12" i="52"/>
  <c r="J12" i="52"/>
  <c r="I12" i="52"/>
  <c r="F12" i="52"/>
  <c r="S11" i="52"/>
  <c r="Q11" i="52"/>
  <c r="N11" i="52"/>
  <c r="L11" i="52"/>
  <c r="J11" i="52"/>
  <c r="I11" i="52"/>
  <c r="F11" i="52"/>
  <c r="S10" i="52"/>
  <c r="Q10" i="52"/>
  <c r="N10" i="52"/>
  <c r="L10" i="52"/>
  <c r="J10" i="52"/>
  <c r="I10" i="52"/>
  <c r="F10" i="52"/>
  <c r="G25" i="48"/>
  <c r="F25" i="48"/>
  <c r="G24" i="48"/>
  <c r="F24" i="48"/>
  <c r="I24" i="48" s="1"/>
  <c r="G23" i="48"/>
  <c r="F23" i="48"/>
  <c r="G22" i="48"/>
  <c r="F22" i="48"/>
  <c r="I22" i="48" s="1"/>
  <c r="F20" i="48"/>
  <c r="G19" i="48"/>
  <c r="F19" i="48"/>
  <c r="G18" i="48"/>
  <c r="F18" i="48"/>
  <c r="G17" i="48"/>
  <c r="F17" i="48"/>
  <c r="G16" i="48"/>
  <c r="F16" i="48"/>
  <c r="G15" i="48"/>
  <c r="F15" i="48"/>
  <c r="G14" i="48"/>
  <c r="F14" i="48"/>
  <c r="G13" i="48"/>
  <c r="F13" i="48"/>
  <c r="G12" i="48"/>
  <c r="F12" i="48"/>
  <c r="G11" i="48"/>
  <c r="F11" i="48"/>
  <c r="I10" i="48"/>
  <c r="H10" i="48"/>
  <c r="G10" i="48"/>
  <c r="F10" i="48"/>
  <c r="AJ26" i="31"/>
  <c r="AI26" i="31"/>
  <c r="AH26" i="31"/>
  <c r="AG26" i="31"/>
  <c r="AF26" i="31"/>
  <c r="AE26" i="31"/>
  <c r="AD26" i="31"/>
  <c r="AC26" i="31"/>
  <c r="AB26" i="31"/>
  <c r="AA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AJ25" i="31"/>
  <c r="AI25" i="31"/>
  <c r="AH25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J24" i="31"/>
  <c r="AI24" i="31"/>
  <c r="AH24" i="31"/>
  <c r="AG24" i="31"/>
  <c r="AF24" i="31"/>
  <c r="AE24" i="31"/>
  <c r="AD24" i="31"/>
  <c r="AC24" i="31"/>
  <c r="AB24" i="31"/>
  <c r="AA24" i="31"/>
  <c r="Y24" i="31"/>
  <c r="Q21" i="54" s="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22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J15" i="31"/>
  <c r="AI15" i="31"/>
  <c r="AH15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J14" i="31"/>
  <c r="AI14" i="31"/>
  <c r="AH14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J13" i="31"/>
  <c r="AI13" i="31"/>
  <c r="AH13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J12" i="31"/>
  <c r="AI12" i="31"/>
  <c r="AH12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J11" i="31"/>
  <c r="AI11" i="31"/>
  <c r="AH11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I10" i="31"/>
  <c r="AG10" i="31"/>
  <c r="AE10" i="31"/>
  <c r="AC10" i="31"/>
  <c r="AA10" i="31"/>
  <c r="Y10" i="31"/>
  <c r="W10" i="31"/>
  <c r="U10" i="31"/>
  <c r="S10" i="31"/>
  <c r="Q10" i="31"/>
  <c r="O10" i="31"/>
  <c r="M10" i="31"/>
  <c r="K10" i="31"/>
  <c r="I10" i="31"/>
  <c r="G10" i="31"/>
  <c r="E10" i="31"/>
  <c r="C10" i="31"/>
  <c r="AQ32" i="45"/>
  <c r="AP32" i="45"/>
  <c r="AO32" i="45"/>
  <c r="AN32" i="45"/>
  <c r="AM32" i="45"/>
  <c r="AL32" i="45"/>
  <c r="AK32" i="45"/>
  <c r="AJ32" i="45"/>
  <c r="AI32" i="45"/>
  <c r="AH32" i="45"/>
  <c r="AG32" i="45"/>
  <c r="AF32" i="45"/>
  <c r="AE32" i="45"/>
  <c r="AD32" i="45"/>
  <c r="AC32" i="45"/>
  <c r="AB32" i="45"/>
  <c r="AA32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H32" i="45"/>
  <c r="K31" i="45"/>
  <c r="J31" i="45"/>
  <c r="I31" i="45"/>
  <c r="H31" i="45"/>
  <c r="G31" i="45"/>
  <c r="K30" i="45"/>
  <c r="J30" i="45"/>
  <c r="I30" i="45"/>
  <c r="H30" i="45"/>
  <c r="G30" i="45"/>
  <c r="K29" i="45"/>
  <c r="J29" i="45"/>
  <c r="I29" i="45"/>
  <c r="H29" i="45"/>
  <c r="G29" i="45"/>
  <c r="K28" i="45"/>
  <c r="J28" i="45"/>
  <c r="I28" i="45"/>
  <c r="H28" i="45"/>
  <c r="G28" i="45"/>
  <c r="K27" i="45"/>
  <c r="J27" i="45"/>
  <c r="I27" i="45"/>
  <c r="H27" i="45"/>
  <c r="G27" i="45"/>
  <c r="K26" i="45"/>
  <c r="J26" i="45"/>
  <c r="I26" i="45"/>
  <c r="H26" i="45"/>
  <c r="G26" i="45"/>
  <c r="K25" i="45"/>
  <c r="J25" i="45"/>
  <c r="I25" i="45"/>
  <c r="H25" i="45"/>
  <c r="G25" i="45"/>
  <c r="K24" i="45"/>
  <c r="J24" i="45"/>
  <c r="I24" i="45"/>
  <c r="H24" i="45"/>
  <c r="G24" i="45"/>
  <c r="K23" i="45"/>
  <c r="J23" i="45"/>
  <c r="I23" i="45"/>
  <c r="H23" i="45"/>
  <c r="G23" i="45"/>
  <c r="K22" i="45"/>
  <c r="J22" i="45"/>
  <c r="I22" i="45"/>
  <c r="H22" i="45"/>
  <c r="G22" i="45"/>
  <c r="K21" i="45"/>
  <c r="J21" i="45"/>
  <c r="I21" i="45"/>
  <c r="H21" i="45"/>
  <c r="G21" i="45"/>
  <c r="K20" i="45"/>
  <c r="J20" i="45"/>
  <c r="I20" i="45"/>
  <c r="H20" i="45"/>
  <c r="G20" i="45"/>
  <c r="K19" i="45"/>
  <c r="J19" i="45"/>
  <c r="I19" i="45"/>
  <c r="H19" i="45"/>
  <c r="G19" i="45"/>
  <c r="K18" i="45"/>
  <c r="J18" i="45"/>
  <c r="I18" i="45"/>
  <c r="H18" i="45"/>
  <c r="G18" i="45"/>
  <c r="K17" i="45"/>
  <c r="J17" i="45"/>
  <c r="I17" i="45"/>
  <c r="H17" i="45"/>
  <c r="G17" i="45"/>
  <c r="K16" i="45"/>
  <c r="J16" i="45"/>
  <c r="I16" i="45"/>
  <c r="H16" i="45"/>
  <c r="G16" i="45"/>
  <c r="K15" i="45"/>
  <c r="J15" i="45"/>
  <c r="I15" i="45"/>
  <c r="H15" i="45"/>
  <c r="G15" i="45"/>
  <c r="K14" i="45"/>
  <c r="J14" i="45"/>
  <c r="I14" i="45"/>
  <c r="H14" i="45"/>
  <c r="G14" i="45"/>
  <c r="K13" i="45"/>
  <c r="J13" i="45"/>
  <c r="I13" i="45"/>
  <c r="H13" i="45"/>
  <c r="G13" i="45"/>
  <c r="K12" i="45"/>
  <c r="J12" i="45"/>
  <c r="I12" i="45"/>
  <c r="H12" i="45"/>
  <c r="G12" i="45"/>
  <c r="AP8" i="45"/>
  <c r="AN8" i="45"/>
  <c r="AL8" i="45"/>
  <c r="AJ8" i="45"/>
  <c r="AH8" i="45"/>
  <c r="AB8" i="45"/>
  <c r="Z8" i="45"/>
  <c r="X8" i="45"/>
  <c r="V8" i="45"/>
  <c r="T8" i="45"/>
  <c r="R8" i="45"/>
  <c r="P8" i="45"/>
  <c r="N8" i="45"/>
  <c r="L8" i="45"/>
  <c r="AQ32" i="44"/>
  <c r="AP32" i="44"/>
  <c r="AO32" i="44"/>
  <c r="AN32" i="44"/>
  <c r="AM32" i="44"/>
  <c r="AL32" i="44"/>
  <c r="AK32" i="44"/>
  <c r="AJ32" i="44"/>
  <c r="AI32" i="44"/>
  <c r="AH32" i="44"/>
  <c r="AG32" i="44"/>
  <c r="Z24" i="31" s="1"/>
  <c r="AF32" i="44"/>
  <c r="AE32" i="44"/>
  <c r="X24" i="31" s="1"/>
  <c r="AD32" i="44"/>
  <c r="AC32" i="44"/>
  <c r="AB32" i="44"/>
  <c r="AA32" i="44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1" i="44"/>
  <c r="J31" i="44"/>
  <c r="I31" i="44"/>
  <c r="H31" i="44"/>
  <c r="G31" i="44"/>
  <c r="K30" i="44"/>
  <c r="J30" i="44"/>
  <c r="I30" i="44"/>
  <c r="H30" i="44"/>
  <c r="G30" i="44"/>
  <c r="K29" i="44"/>
  <c r="J29" i="44"/>
  <c r="I29" i="44" s="1"/>
  <c r="G29" i="44"/>
  <c r="K28" i="44"/>
  <c r="J28" i="44"/>
  <c r="I28" i="44"/>
  <c r="H28" i="44"/>
  <c r="G28" i="44"/>
  <c r="K27" i="44"/>
  <c r="J27" i="44"/>
  <c r="I27" i="44"/>
  <c r="H27" i="44"/>
  <c r="G27" i="44"/>
  <c r="K26" i="44"/>
  <c r="J26" i="44"/>
  <c r="I26" i="44"/>
  <c r="H26" i="44"/>
  <c r="G26" i="44"/>
  <c r="K25" i="44"/>
  <c r="J25" i="44"/>
  <c r="K24" i="44"/>
  <c r="J24" i="44"/>
  <c r="I24" i="44"/>
  <c r="H24" i="44"/>
  <c r="G24" i="44"/>
  <c r="K23" i="44"/>
  <c r="J23" i="44"/>
  <c r="I23" i="44"/>
  <c r="H23" i="44"/>
  <c r="G23" i="44"/>
  <c r="K22" i="44"/>
  <c r="J22" i="44"/>
  <c r="I22" i="44"/>
  <c r="H22" i="44"/>
  <c r="G22" i="44"/>
  <c r="K21" i="44"/>
  <c r="J21" i="44"/>
  <c r="I21" i="44"/>
  <c r="H21" i="44"/>
  <c r="G21" i="44"/>
  <c r="K20" i="44"/>
  <c r="J20" i="44"/>
  <c r="I20" i="44"/>
  <c r="H20" i="44"/>
  <c r="G20" i="44"/>
  <c r="K19" i="44"/>
  <c r="J19" i="44"/>
  <c r="I19" i="44"/>
  <c r="H19" i="44"/>
  <c r="G19" i="44"/>
  <c r="K18" i="44"/>
  <c r="J18" i="44"/>
  <c r="I18" i="44"/>
  <c r="H18" i="44"/>
  <c r="G18" i="44"/>
  <c r="K17" i="44"/>
  <c r="J17" i="44"/>
  <c r="K16" i="44"/>
  <c r="I16" i="44" s="1"/>
  <c r="J16" i="44"/>
  <c r="K15" i="44"/>
  <c r="J15" i="44"/>
  <c r="G15" i="44" s="1"/>
  <c r="H15" i="44"/>
  <c r="K14" i="44"/>
  <c r="J14" i="44"/>
  <c r="H14" i="44"/>
  <c r="K13" i="44"/>
  <c r="J13" i="44"/>
  <c r="H13" i="44" s="1"/>
  <c r="I13" i="44"/>
  <c r="G13" i="44"/>
  <c r="K12" i="44"/>
  <c r="J12" i="44"/>
  <c r="I12" i="44"/>
  <c r="H12" i="44"/>
  <c r="G12" i="44"/>
  <c r="AP8" i="44"/>
  <c r="AN8" i="44"/>
  <c r="AL8" i="44"/>
  <c r="AJ8" i="44"/>
  <c r="AH8" i="44"/>
  <c r="AF8" i="44"/>
  <c r="AF8" i="45" s="1"/>
  <c r="AB8" i="44"/>
  <c r="Z8" i="44"/>
  <c r="X8" i="44"/>
  <c r="V8" i="44"/>
  <c r="T8" i="44"/>
  <c r="R8" i="44"/>
  <c r="P8" i="44"/>
  <c r="N8" i="44"/>
  <c r="L8" i="44"/>
  <c r="AQ32" i="43"/>
  <c r="AP32" i="43"/>
  <c r="AO32" i="43"/>
  <c r="AN32" i="43"/>
  <c r="AM32" i="43"/>
  <c r="AL32" i="43"/>
  <c r="AK32" i="43"/>
  <c r="AJ32" i="43"/>
  <c r="AI32" i="43"/>
  <c r="AH32" i="43"/>
  <c r="AG32" i="43"/>
  <c r="AF32" i="43"/>
  <c r="AE32" i="43"/>
  <c r="X23" i="31" s="1"/>
  <c r="AD32" i="43"/>
  <c r="AC32" i="43"/>
  <c r="AB32" i="43"/>
  <c r="AA32" i="43"/>
  <c r="Z32" i="43"/>
  <c r="Y32" i="43"/>
  <c r="X32" i="43"/>
  <c r="W32" i="43"/>
  <c r="V32" i="43"/>
  <c r="U32" i="43"/>
  <c r="T32" i="43"/>
  <c r="S32" i="43"/>
  <c r="R32" i="43"/>
  <c r="Q32" i="43"/>
  <c r="P32" i="43"/>
  <c r="O32" i="43"/>
  <c r="N32" i="43"/>
  <c r="M32" i="43"/>
  <c r="L32" i="43"/>
  <c r="K31" i="43"/>
  <c r="J31" i="43"/>
  <c r="I31" i="43"/>
  <c r="H31" i="43"/>
  <c r="G31" i="43"/>
  <c r="K30" i="43"/>
  <c r="J30" i="43"/>
  <c r="I30" i="43"/>
  <c r="H30" i="43"/>
  <c r="G30" i="43"/>
  <c r="K29" i="43"/>
  <c r="J29" i="43"/>
  <c r="I29" i="43"/>
  <c r="H29" i="43"/>
  <c r="G29" i="43"/>
  <c r="K28" i="43"/>
  <c r="J28" i="43"/>
  <c r="I28" i="43"/>
  <c r="H28" i="43"/>
  <c r="G28" i="43"/>
  <c r="K27" i="43"/>
  <c r="J27" i="43"/>
  <c r="I27" i="43"/>
  <c r="H27" i="43"/>
  <c r="G27" i="43"/>
  <c r="K26" i="43"/>
  <c r="J26" i="43"/>
  <c r="I26" i="43"/>
  <c r="H26" i="43"/>
  <c r="G26" i="43"/>
  <c r="K25" i="43"/>
  <c r="J25" i="43"/>
  <c r="I25" i="43"/>
  <c r="H25" i="43"/>
  <c r="G25" i="43"/>
  <c r="K24" i="43"/>
  <c r="J24" i="43"/>
  <c r="I24" i="43"/>
  <c r="H24" i="43"/>
  <c r="G24" i="43"/>
  <c r="K23" i="43"/>
  <c r="K32" i="43" s="1"/>
  <c r="D23" i="31" s="1"/>
  <c r="J23" i="43"/>
  <c r="J32" i="43" s="1"/>
  <c r="K22" i="43"/>
  <c r="J22" i="43"/>
  <c r="I22" i="43"/>
  <c r="H22" i="43"/>
  <c r="G22" i="43"/>
  <c r="K21" i="43"/>
  <c r="J21" i="43"/>
  <c r="I21" i="43"/>
  <c r="H21" i="43"/>
  <c r="G21" i="43"/>
  <c r="K20" i="43"/>
  <c r="J20" i="43"/>
  <c r="I20" i="43"/>
  <c r="H20" i="43"/>
  <c r="G20" i="43"/>
  <c r="K19" i="43"/>
  <c r="J19" i="43"/>
  <c r="I19" i="43"/>
  <c r="H19" i="43"/>
  <c r="G19" i="43"/>
  <c r="K18" i="43"/>
  <c r="J18" i="43"/>
  <c r="I18" i="43"/>
  <c r="H18" i="43"/>
  <c r="G18" i="43"/>
  <c r="K17" i="43"/>
  <c r="J17" i="43"/>
  <c r="I17" i="43"/>
  <c r="H17" i="43"/>
  <c r="G17" i="43"/>
  <c r="K16" i="43"/>
  <c r="J16" i="43"/>
  <c r="I16" i="43"/>
  <c r="H16" i="43"/>
  <c r="G16" i="43"/>
  <c r="K15" i="43"/>
  <c r="J15" i="43"/>
  <c r="I15" i="43"/>
  <c r="H15" i="43"/>
  <c r="G15" i="43"/>
  <c r="K14" i="43"/>
  <c r="J14" i="43"/>
  <c r="I14" i="43"/>
  <c r="H14" i="43"/>
  <c r="G14" i="43"/>
  <c r="K13" i="43"/>
  <c r="J13" i="43"/>
  <c r="I13" i="43"/>
  <c r="H13" i="43"/>
  <c r="G13" i="43"/>
  <c r="K12" i="43"/>
  <c r="J12" i="43"/>
  <c r="I12" i="43"/>
  <c r="H12" i="43"/>
  <c r="G12" i="43"/>
  <c r="AP8" i="43"/>
  <c r="AN8" i="43"/>
  <c r="AL8" i="43"/>
  <c r="AJ8" i="43"/>
  <c r="AH8" i="43"/>
  <c r="AF8" i="43"/>
  <c r="AB8" i="43"/>
  <c r="Z8" i="43"/>
  <c r="X8" i="43"/>
  <c r="V8" i="43"/>
  <c r="T8" i="43"/>
  <c r="R8" i="43"/>
  <c r="P8" i="43"/>
  <c r="N8" i="43"/>
  <c r="L8" i="43"/>
  <c r="AQ32" i="42"/>
  <c r="AP32" i="42"/>
  <c r="AO32" i="42"/>
  <c r="AN32" i="42"/>
  <c r="AM32" i="42"/>
  <c r="AL32" i="42"/>
  <c r="AK32" i="42"/>
  <c r="AJ32" i="42"/>
  <c r="AI32" i="42"/>
  <c r="AH32" i="42"/>
  <c r="AG32" i="42"/>
  <c r="AF32" i="42"/>
  <c r="AE32" i="42"/>
  <c r="AD32" i="42"/>
  <c r="AC32" i="42"/>
  <c r="AB32" i="42"/>
  <c r="AA32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H32" i="42"/>
  <c r="K31" i="42"/>
  <c r="J31" i="42"/>
  <c r="I31" i="42"/>
  <c r="H31" i="42"/>
  <c r="G31" i="42"/>
  <c r="K30" i="42"/>
  <c r="J30" i="42"/>
  <c r="I30" i="42"/>
  <c r="H30" i="42"/>
  <c r="G30" i="42"/>
  <c r="K29" i="42"/>
  <c r="J29" i="42"/>
  <c r="I29" i="42"/>
  <c r="H29" i="42"/>
  <c r="G29" i="42"/>
  <c r="K28" i="42"/>
  <c r="J28" i="42"/>
  <c r="I28" i="42"/>
  <c r="H28" i="42"/>
  <c r="G28" i="42"/>
  <c r="K27" i="42"/>
  <c r="J27" i="42"/>
  <c r="I27" i="42"/>
  <c r="H27" i="42"/>
  <c r="G27" i="42"/>
  <c r="K26" i="42"/>
  <c r="J26" i="42"/>
  <c r="I26" i="42"/>
  <c r="H26" i="42"/>
  <c r="G26" i="42"/>
  <c r="K25" i="42"/>
  <c r="J25" i="42"/>
  <c r="I25" i="42"/>
  <c r="H25" i="42"/>
  <c r="G25" i="42"/>
  <c r="K24" i="42"/>
  <c r="J24" i="42"/>
  <c r="I24" i="42"/>
  <c r="H24" i="42"/>
  <c r="G24" i="42"/>
  <c r="K23" i="42"/>
  <c r="J23" i="42"/>
  <c r="I23" i="42"/>
  <c r="H23" i="42"/>
  <c r="G23" i="42"/>
  <c r="K22" i="42"/>
  <c r="J22" i="42"/>
  <c r="I22" i="42"/>
  <c r="H22" i="42"/>
  <c r="G22" i="42"/>
  <c r="K21" i="42"/>
  <c r="J21" i="42"/>
  <c r="I21" i="42"/>
  <c r="H21" i="42"/>
  <c r="G21" i="42"/>
  <c r="K20" i="42"/>
  <c r="J20" i="42"/>
  <c r="I20" i="42"/>
  <c r="H20" i="42"/>
  <c r="G20" i="42"/>
  <c r="K19" i="42"/>
  <c r="J19" i="42"/>
  <c r="I19" i="42"/>
  <c r="H19" i="42"/>
  <c r="G19" i="42"/>
  <c r="K18" i="42"/>
  <c r="J18" i="42"/>
  <c r="I18" i="42"/>
  <c r="H18" i="42"/>
  <c r="G18" i="42"/>
  <c r="K17" i="42"/>
  <c r="J17" i="42"/>
  <c r="I17" i="42"/>
  <c r="H17" i="42"/>
  <c r="G17" i="42"/>
  <c r="K16" i="42"/>
  <c r="J16" i="42"/>
  <c r="I16" i="42"/>
  <c r="H16" i="42"/>
  <c r="G16" i="42"/>
  <c r="K15" i="42"/>
  <c r="J15" i="42"/>
  <c r="I15" i="42"/>
  <c r="H15" i="42"/>
  <c r="G15" i="42"/>
  <c r="K14" i="42"/>
  <c r="J14" i="42"/>
  <c r="I14" i="42"/>
  <c r="H14" i="42"/>
  <c r="G14" i="42"/>
  <c r="K13" i="42"/>
  <c r="J13" i="42"/>
  <c r="I13" i="42"/>
  <c r="H13" i="42"/>
  <c r="G13" i="42"/>
  <c r="K12" i="42"/>
  <c r="J12" i="42"/>
  <c r="I12" i="42"/>
  <c r="H12" i="42"/>
  <c r="G12" i="42"/>
  <c r="AP8" i="42"/>
  <c r="AN8" i="42"/>
  <c r="AL8" i="42"/>
  <c r="AJ8" i="42"/>
  <c r="AH8" i="42"/>
  <c r="AF8" i="42"/>
  <c r="AD8" i="42"/>
  <c r="AB8" i="42"/>
  <c r="Z8" i="42"/>
  <c r="X8" i="42"/>
  <c r="V8" i="42"/>
  <c r="T8" i="42"/>
  <c r="R8" i="42"/>
  <c r="P8" i="42"/>
  <c r="N8" i="42"/>
  <c r="L8" i="42"/>
  <c r="AQ32" i="41"/>
  <c r="AP32" i="41"/>
  <c r="AO32" i="41"/>
  <c r="AN32" i="41"/>
  <c r="AM32" i="41"/>
  <c r="AL32" i="41"/>
  <c r="AK32" i="41"/>
  <c r="AJ32" i="41"/>
  <c r="AI32" i="41"/>
  <c r="AH32" i="41"/>
  <c r="AG32" i="41"/>
  <c r="AF32" i="41"/>
  <c r="AE32" i="41"/>
  <c r="AD32" i="41"/>
  <c r="AC32" i="41"/>
  <c r="AB32" i="41"/>
  <c r="AA32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H32" i="41"/>
  <c r="K31" i="41"/>
  <c r="J31" i="41"/>
  <c r="I31" i="41"/>
  <c r="H31" i="41"/>
  <c r="G31" i="41"/>
  <c r="K30" i="41"/>
  <c r="J30" i="41"/>
  <c r="I30" i="41"/>
  <c r="H30" i="41"/>
  <c r="G30" i="41"/>
  <c r="K29" i="41"/>
  <c r="J29" i="41"/>
  <c r="I29" i="41"/>
  <c r="H29" i="41"/>
  <c r="G29" i="41"/>
  <c r="K28" i="41"/>
  <c r="J28" i="41"/>
  <c r="I28" i="41"/>
  <c r="H28" i="41"/>
  <c r="G28" i="41"/>
  <c r="K27" i="41"/>
  <c r="J27" i="41"/>
  <c r="I27" i="41"/>
  <c r="H27" i="41"/>
  <c r="G27" i="41"/>
  <c r="K26" i="41"/>
  <c r="J26" i="41"/>
  <c r="I26" i="41"/>
  <c r="H26" i="41"/>
  <c r="G26" i="41"/>
  <c r="K25" i="41"/>
  <c r="J25" i="41"/>
  <c r="I25" i="41"/>
  <c r="H25" i="41"/>
  <c r="G25" i="41"/>
  <c r="K24" i="41"/>
  <c r="J24" i="41"/>
  <c r="I24" i="41"/>
  <c r="H24" i="41"/>
  <c r="G24" i="41"/>
  <c r="K23" i="41"/>
  <c r="J23" i="41"/>
  <c r="I23" i="41"/>
  <c r="H23" i="41"/>
  <c r="G23" i="41"/>
  <c r="K22" i="41"/>
  <c r="J22" i="41"/>
  <c r="I22" i="41"/>
  <c r="H22" i="41"/>
  <c r="G22" i="41"/>
  <c r="K21" i="41"/>
  <c r="J21" i="41"/>
  <c r="I21" i="41"/>
  <c r="H21" i="41"/>
  <c r="G21" i="41"/>
  <c r="K20" i="41"/>
  <c r="J20" i="41"/>
  <c r="I20" i="41"/>
  <c r="H20" i="41"/>
  <c r="G20" i="41"/>
  <c r="K19" i="41"/>
  <c r="J19" i="41"/>
  <c r="I19" i="41"/>
  <c r="H19" i="41"/>
  <c r="G19" i="41"/>
  <c r="K18" i="41"/>
  <c r="J18" i="41"/>
  <c r="I18" i="41"/>
  <c r="H18" i="41"/>
  <c r="G18" i="41"/>
  <c r="K17" i="41"/>
  <c r="J17" i="41"/>
  <c r="I17" i="41"/>
  <c r="H17" i="41"/>
  <c r="G17" i="41"/>
  <c r="K16" i="41"/>
  <c r="J16" i="41"/>
  <c r="I16" i="41"/>
  <c r="H16" i="41"/>
  <c r="G16" i="41"/>
  <c r="K15" i="41"/>
  <c r="J15" i="41"/>
  <c r="I15" i="41"/>
  <c r="H15" i="41"/>
  <c r="G15" i="41"/>
  <c r="K14" i="41"/>
  <c r="J14" i="41"/>
  <c r="I14" i="41"/>
  <c r="H14" i="41"/>
  <c r="G14" i="41"/>
  <c r="K13" i="41"/>
  <c r="J13" i="41"/>
  <c r="I13" i="41"/>
  <c r="H13" i="41"/>
  <c r="G13" i="41"/>
  <c r="K12" i="41"/>
  <c r="J12" i="41"/>
  <c r="I12" i="41"/>
  <c r="H12" i="41"/>
  <c r="G12" i="41"/>
  <c r="AP8" i="41"/>
  <c r="AN8" i="41"/>
  <c r="AL8" i="41"/>
  <c r="AJ8" i="41"/>
  <c r="AH8" i="41"/>
  <c r="AF8" i="41"/>
  <c r="AD8" i="41"/>
  <c r="AB8" i="41"/>
  <c r="Z8" i="41"/>
  <c r="X8" i="41"/>
  <c r="V8" i="41"/>
  <c r="T8" i="41"/>
  <c r="R8" i="41"/>
  <c r="P8" i="41"/>
  <c r="N8" i="41"/>
  <c r="L8" i="41"/>
  <c r="AQ32" i="40"/>
  <c r="AP32" i="40"/>
  <c r="AO32" i="40"/>
  <c r="AN32" i="40"/>
  <c r="AM32" i="40"/>
  <c r="AL32" i="40"/>
  <c r="AK32" i="40"/>
  <c r="AJ32" i="40"/>
  <c r="AI32" i="40"/>
  <c r="AH32" i="40"/>
  <c r="AG32" i="40"/>
  <c r="AF32" i="40"/>
  <c r="AE32" i="40"/>
  <c r="AD32" i="40"/>
  <c r="AC32" i="40"/>
  <c r="AB32" i="40"/>
  <c r="AA32" i="40"/>
  <c r="Z32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H32" i="40"/>
  <c r="K31" i="40"/>
  <c r="J31" i="40"/>
  <c r="I31" i="40"/>
  <c r="H31" i="40"/>
  <c r="G31" i="40"/>
  <c r="K30" i="40"/>
  <c r="J30" i="40"/>
  <c r="I30" i="40"/>
  <c r="H30" i="40"/>
  <c r="G30" i="40"/>
  <c r="K29" i="40"/>
  <c r="J29" i="40"/>
  <c r="I29" i="40"/>
  <c r="H29" i="40"/>
  <c r="G29" i="40"/>
  <c r="K28" i="40"/>
  <c r="J28" i="40"/>
  <c r="I28" i="40"/>
  <c r="H28" i="40"/>
  <c r="G28" i="40"/>
  <c r="K27" i="40"/>
  <c r="J27" i="40"/>
  <c r="I27" i="40"/>
  <c r="H27" i="40"/>
  <c r="G27" i="40"/>
  <c r="K26" i="40"/>
  <c r="J26" i="40"/>
  <c r="I26" i="40"/>
  <c r="H26" i="40"/>
  <c r="G26" i="40"/>
  <c r="K25" i="40"/>
  <c r="J25" i="40"/>
  <c r="I25" i="40"/>
  <c r="H25" i="40"/>
  <c r="G25" i="40"/>
  <c r="K24" i="40"/>
  <c r="J24" i="40"/>
  <c r="I24" i="40"/>
  <c r="H24" i="40"/>
  <c r="G24" i="40"/>
  <c r="K23" i="40"/>
  <c r="J23" i="40"/>
  <c r="I23" i="40"/>
  <c r="H23" i="40"/>
  <c r="G23" i="40"/>
  <c r="K22" i="40"/>
  <c r="J22" i="40"/>
  <c r="I22" i="40"/>
  <c r="H22" i="40"/>
  <c r="G22" i="40"/>
  <c r="K21" i="40"/>
  <c r="J21" i="40"/>
  <c r="I21" i="40"/>
  <c r="H21" i="40"/>
  <c r="G21" i="40"/>
  <c r="K20" i="40"/>
  <c r="J20" i="40"/>
  <c r="I20" i="40"/>
  <c r="H20" i="40"/>
  <c r="G20" i="40"/>
  <c r="K19" i="40"/>
  <c r="J19" i="40"/>
  <c r="I19" i="40"/>
  <c r="H19" i="40"/>
  <c r="G19" i="40"/>
  <c r="K18" i="40"/>
  <c r="J18" i="40"/>
  <c r="I18" i="40"/>
  <c r="H18" i="40"/>
  <c r="G18" i="40"/>
  <c r="K17" i="40"/>
  <c r="J17" i="40"/>
  <c r="I17" i="40"/>
  <c r="H17" i="40"/>
  <c r="G17" i="40"/>
  <c r="K16" i="40"/>
  <c r="J16" i="40"/>
  <c r="I16" i="40"/>
  <c r="H16" i="40"/>
  <c r="G16" i="40"/>
  <c r="K15" i="40"/>
  <c r="J15" i="40"/>
  <c r="I15" i="40"/>
  <c r="H15" i="40"/>
  <c r="G15" i="40"/>
  <c r="K14" i="40"/>
  <c r="J14" i="40"/>
  <c r="I14" i="40"/>
  <c r="H14" i="40"/>
  <c r="G14" i="40"/>
  <c r="K13" i="40"/>
  <c r="J13" i="40"/>
  <c r="I13" i="40"/>
  <c r="H13" i="40"/>
  <c r="G13" i="40"/>
  <c r="K12" i="40"/>
  <c r="J12" i="40"/>
  <c r="I12" i="40"/>
  <c r="H12" i="40"/>
  <c r="G12" i="40"/>
  <c r="AP8" i="40"/>
  <c r="AN8" i="40"/>
  <c r="AL8" i="40"/>
  <c r="AJ8" i="40"/>
  <c r="AH8" i="40"/>
  <c r="AF8" i="40"/>
  <c r="AD8" i="40"/>
  <c r="AB8" i="40"/>
  <c r="Z8" i="40"/>
  <c r="X8" i="40"/>
  <c r="V8" i="40"/>
  <c r="T8" i="40"/>
  <c r="R8" i="40"/>
  <c r="P8" i="40"/>
  <c r="N8" i="40"/>
  <c r="L8" i="40"/>
  <c r="AQ32" i="39"/>
  <c r="AP32" i="39"/>
  <c r="AO32" i="39"/>
  <c r="AN32" i="39"/>
  <c r="AM32" i="39"/>
  <c r="AL32" i="39"/>
  <c r="AK32" i="39"/>
  <c r="AJ32" i="39"/>
  <c r="AI32" i="39"/>
  <c r="AH32" i="39"/>
  <c r="AG32" i="39"/>
  <c r="AF32" i="39"/>
  <c r="AE32" i="39"/>
  <c r="AD32" i="39"/>
  <c r="AC32" i="39"/>
  <c r="AB32" i="39"/>
  <c r="AA32" i="39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H32" i="39"/>
  <c r="K31" i="39"/>
  <c r="J31" i="39"/>
  <c r="I31" i="39"/>
  <c r="H31" i="39"/>
  <c r="G31" i="39"/>
  <c r="K30" i="39"/>
  <c r="J30" i="39"/>
  <c r="I30" i="39"/>
  <c r="H30" i="39"/>
  <c r="G30" i="39"/>
  <c r="K29" i="39"/>
  <c r="J29" i="39"/>
  <c r="I29" i="39"/>
  <c r="H29" i="39"/>
  <c r="G29" i="39"/>
  <c r="K28" i="39"/>
  <c r="J28" i="39"/>
  <c r="I28" i="39"/>
  <c r="H28" i="39"/>
  <c r="G28" i="39"/>
  <c r="K27" i="39"/>
  <c r="J27" i="39"/>
  <c r="I27" i="39"/>
  <c r="H27" i="39"/>
  <c r="G27" i="39"/>
  <c r="K26" i="39"/>
  <c r="J26" i="39"/>
  <c r="I26" i="39"/>
  <c r="H26" i="39"/>
  <c r="G26" i="39"/>
  <c r="K25" i="39"/>
  <c r="J25" i="39"/>
  <c r="I25" i="39"/>
  <c r="H25" i="39"/>
  <c r="G25" i="39"/>
  <c r="K24" i="39"/>
  <c r="J24" i="39"/>
  <c r="I24" i="39"/>
  <c r="H24" i="39"/>
  <c r="G24" i="39"/>
  <c r="K23" i="39"/>
  <c r="J23" i="39"/>
  <c r="I23" i="39"/>
  <c r="H23" i="39"/>
  <c r="G23" i="39"/>
  <c r="K22" i="39"/>
  <c r="J22" i="39"/>
  <c r="I22" i="39"/>
  <c r="H22" i="39"/>
  <c r="G22" i="39"/>
  <c r="K21" i="39"/>
  <c r="J21" i="39"/>
  <c r="I21" i="39"/>
  <c r="H21" i="39"/>
  <c r="G21" i="39"/>
  <c r="K20" i="39"/>
  <c r="J20" i="39"/>
  <c r="I20" i="39"/>
  <c r="H20" i="39"/>
  <c r="G20" i="39"/>
  <c r="K19" i="39"/>
  <c r="J19" i="39"/>
  <c r="I19" i="39"/>
  <c r="H19" i="39"/>
  <c r="G19" i="39"/>
  <c r="K18" i="39"/>
  <c r="J18" i="39"/>
  <c r="I18" i="39"/>
  <c r="H18" i="39"/>
  <c r="G18" i="39"/>
  <c r="K17" i="39"/>
  <c r="J17" i="39"/>
  <c r="I17" i="39"/>
  <c r="H17" i="39"/>
  <c r="G17" i="39"/>
  <c r="K16" i="39"/>
  <c r="J16" i="39"/>
  <c r="I16" i="39"/>
  <c r="H16" i="39"/>
  <c r="G16" i="39"/>
  <c r="K15" i="39"/>
  <c r="J15" i="39"/>
  <c r="I15" i="39"/>
  <c r="H15" i="39"/>
  <c r="G15" i="39"/>
  <c r="K14" i="39"/>
  <c r="J14" i="39"/>
  <c r="I14" i="39"/>
  <c r="H14" i="39"/>
  <c r="G14" i="39"/>
  <c r="K13" i="39"/>
  <c r="J13" i="39"/>
  <c r="I13" i="39"/>
  <c r="H13" i="39"/>
  <c r="G13" i="39"/>
  <c r="K12" i="39"/>
  <c r="J12" i="39"/>
  <c r="I12" i="39"/>
  <c r="H12" i="39"/>
  <c r="G12" i="39"/>
  <c r="AP8" i="39"/>
  <c r="AN8" i="39"/>
  <c r="AL8" i="39"/>
  <c r="AJ8" i="39"/>
  <c r="AH8" i="39"/>
  <c r="AF8" i="39"/>
  <c r="AD8" i="39"/>
  <c r="AB8" i="39"/>
  <c r="Z8" i="39"/>
  <c r="X8" i="39"/>
  <c r="V8" i="39"/>
  <c r="T8" i="39"/>
  <c r="R8" i="39"/>
  <c r="P8" i="39"/>
  <c r="N8" i="39"/>
  <c r="L8" i="39"/>
  <c r="AQ32" i="38"/>
  <c r="AP32" i="38"/>
  <c r="AO32" i="38"/>
  <c r="AN32" i="38"/>
  <c r="AM32" i="38"/>
  <c r="AL32" i="38"/>
  <c r="AK32" i="38"/>
  <c r="AJ32" i="38"/>
  <c r="AI32" i="38"/>
  <c r="AH32" i="38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H32" i="38"/>
  <c r="K31" i="38"/>
  <c r="J31" i="38"/>
  <c r="I31" i="38"/>
  <c r="H31" i="38"/>
  <c r="G31" i="38"/>
  <c r="K30" i="38"/>
  <c r="J30" i="38"/>
  <c r="I30" i="38"/>
  <c r="H30" i="38"/>
  <c r="G30" i="38"/>
  <c r="K29" i="38"/>
  <c r="J29" i="38"/>
  <c r="I29" i="38"/>
  <c r="H29" i="38"/>
  <c r="G29" i="38"/>
  <c r="K28" i="38"/>
  <c r="J28" i="38"/>
  <c r="I28" i="38"/>
  <c r="H28" i="38"/>
  <c r="G28" i="38"/>
  <c r="K27" i="38"/>
  <c r="J27" i="38"/>
  <c r="I27" i="38"/>
  <c r="H27" i="38"/>
  <c r="G27" i="38"/>
  <c r="K26" i="38"/>
  <c r="J26" i="38"/>
  <c r="I26" i="38"/>
  <c r="H26" i="38"/>
  <c r="G26" i="38"/>
  <c r="K25" i="38"/>
  <c r="J25" i="38"/>
  <c r="I25" i="38"/>
  <c r="H25" i="38"/>
  <c r="G25" i="38"/>
  <c r="K24" i="38"/>
  <c r="J24" i="38"/>
  <c r="I24" i="38"/>
  <c r="H24" i="38"/>
  <c r="G24" i="38"/>
  <c r="K23" i="38"/>
  <c r="J23" i="38"/>
  <c r="I23" i="38"/>
  <c r="H23" i="38"/>
  <c r="G23" i="38"/>
  <c r="K22" i="38"/>
  <c r="J22" i="38"/>
  <c r="I22" i="38"/>
  <c r="H22" i="38"/>
  <c r="G22" i="38"/>
  <c r="K21" i="38"/>
  <c r="J21" i="38"/>
  <c r="I21" i="38"/>
  <c r="H21" i="38"/>
  <c r="G21" i="38"/>
  <c r="K20" i="38"/>
  <c r="J20" i="38"/>
  <c r="I20" i="38"/>
  <c r="H20" i="38"/>
  <c r="G20" i="38"/>
  <c r="K19" i="38"/>
  <c r="J19" i="38"/>
  <c r="I19" i="38"/>
  <c r="H19" i="38"/>
  <c r="G19" i="38"/>
  <c r="K18" i="38"/>
  <c r="J18" i="38"/>
  <c r="I18" i="38"/>
  <c r="H18" i="38"/>
  <c r="G18" i="38"/>
  <c r="K17" i="38"/>
  <c r="J17" i="38"/>
  <c r="I17" i="38"/>
  <c r="H17" i="38"/>
  <c r="G17" i="38"/>
  <c r="K16" i="38"/>
  <c r="J16" i="38"/>
  <c r="I16" i="38"/>
  <c r="H16" i="38"/>
  <c r="G16" i="38"/>
  <c r="K15" i="38"/>
  <c r="J15" i="38"/>
  <c r="I15" i="38"/>
  <c r="H15" i="38"/>
  <c r="G15" i="38"/>
  <c r="K14" i="38"/>
  <c r="J14" i="38"/>
  <c r="I14" i="38"/>
  <c r="H14" i="38"/>
  <c r="G14" i="38"/>
  <c r="K13" i="38"/>
  <c r="J13" i="38"/>
  <c r="I13" i="38"/>
  <c r="H13" i="38"/>
  <c r="G13" i="38"/>
  <c r="K12" i="38"/>
  <c r="J12" i="38"/>
  <c r="I12" i="38"/>
  <c r="H12" i="38"/>
  <c r="G12" i="38"/>
  <c r="AP8" i="38"/>
  <c r="AN8" i="38"/>
  <c r="AL8" i="38"/>
  <c r="AJ8" i="38"/>
  <c r="AH8" i="38"/>
  <c r="AF8" i="38"/>
  <c r="AD8" i="38"/>
  <c r="AB8" i="38"/>
  <c r="Z8" i="38"/>
  <c r="X8" i="38"/>
  <c r="V8" i="38"/>
  <c r="T8" i="38"/>
  <c r="R8" i="38"/>
  <c r="P8" i="38"/>
  <c r="N8" i="38"/>
  <c r="L8" i="38"/>
  <c r="AQ32" i="37"/>
  <c r="AP32" i="37"/>
  <c r="AO32" i="37"/>
  <c r="AN32" i="37"/>
  <c r="AM32" i="37"/>
  <c r="AL32" i="37"/>
  <c r="AK32" i="37"/>
  <c r="AJ32" i="37"/>
  <c r="AI32" i="37"/>
  <c r="AH32" i="37"/>
  <c r="AG32" i="37"/>
  <c r="AF32" i="37"/>
  <c r="AE32" i="37"/>
  <c r="AD32" i="37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H32" i="37"/>
  <c r="K31" i="37"/>
  <c r="J31" i="37"/>
  <c r="I31" i="37"/>
  <c r="H31" i="37"/>
  <c r="G31" i="37"/>
  <c r="K30" i="37"/>
  <c r="J30" i="37"/>
  <c r="I30" i="37"/>
  <c r="H30" i="37"/>
  <c r="G30" i="37"/>
  <c r="K29" i="37"/>
  <c r="J29" i="37"/>
  <c r="I29" i="37"/>
  <c r="H29" i="37"/>
  <c r="G29" i="37"/>
  <c r="K28" i="37"/>
  <c r="J28" i="37"/>
  <c r="I28" i="37"/>
  <c r="H28" i="37"/>
  <c r="G28" i="37"/>
  <c r="K27" i="37"/>
  <c r="J27" i="37"/>
  <c r="I27" i="37"/>
  <c r="H27" i="37"/>
  <c r="G27" i="37"/>
  <c r="K26" i="37"/>
  <c r="J26" i="37"/>
  <c r="I26" i="37"/>
  <c r="H26" i="37"/>
  <c r="G26" i="37"/>
  <c r="K25" i="37"/>
  <c r="J25" i="37"/>
  <c r="I25" i="37"/>
  <c r="H25" i="37"/>
  <c r="G25" i="37"/>
  <c r="K24" i="37"/>
  <c r="J24" i="37"/>
  <c r="I24" i="37"/>
  <c r="H24" i="37"/>
  <c r="G24" i="37"/>
  <c r="K23" i="37"/>
  <c r="J23" i="37"/>
  <c r="I23" i="37"/>
  <c r="H23" i="37"/>
  <c r="G23" i="37"/>
  <c r="K22" i="37"/>
  <c r="J22" i="37"/>
  <c r="I22" i="37"/>
  <c r="H22" i="37"/>
  <c r="G22" i="37"/>
  <c r="K21" i="37"/>
  <c r="J21" i="37"/>
  <c r="I21" i="37"/>
  <c r="H21" i="37"/>
  <c r="G21" i="37"/>
  <c r="K20" i="37"/>
  <c r="J20" i="37"/>
  <c r="I20" i="37"/>
  <c r="H20" i="37"/>
  <c r="G20" i="37"/>
  <c r="K19" i="37"/>
  <c r="J19" i="37"/>
  <c r="I19" i="37"/>
  <c r="H19" i="37"/>
  <c r="G19" i="37"/>
  <c r="K18" i="37"/>
  <c r="J18" i="37"/>
  <c r="I18" i="37"/>
  <c r="H18" i="37"/>
  <c r="G18" i="37"/>
  <c r="K17" i="37"/>
  <c r="J17" i="37"/>
  <c r="I17" i="37"/>
  <c r="H17" i="37"/>
  <c r="G17" i="37"/>
  <c r="K16" i="37"/>
  <c r="J16" i="37"/>
  <c r="I16" i="37"/>
  <c r="H16" i="37"/>
  <c r="G16" i="37"/>
  <c r="K15" i="37"/>
  <c r="J15" i="37"/>
  <c r="I15" i="37"/>
  <c r="H15" i="37"/>
  <c r="G15" i="37"/>
  <c r="K14" i="37"/>
  <c r="J14" i="37"/>
  <c r="I14" i="37"/>
  <c r="H14" i="37"/>
  <c r="G14" i="37"/>
  <c r="K13" i="37"/>
  <c r="J13" i="37"/>
  <c r="I13" i="37"/>
  <c r="H13" i="37"/>
  <c r="G13" i="37"/>
  <c r="K12" i="37"/>
  <c r="J12" i="37"/>
  <c r="I12" i="37"/>
  <c r="H12" i="37"/>
  <c r="G12" i="37"/>
  <c r="AP8" i="37"/>
  <c r="AN8" i="37"/>
  <c r="AL8" i="37"/>
  <c r="AJ8" i="37"/>
  <c r="AH8" i="37"/>
  <c r="AF8" i="37"/>
  <c r="AD8" i="37"/>
  <c r="AB8" i="37"/>
  <c r="Z8" i="37"/>
  <c r="X8" i="37"/>
  <c r="V8" i="37"/>
  <c r="T8" i="37"/>
  <c r="R8" i="37"/>
  <c r="P8" i="37"/>
  <c r="N8" i="37"/>
  <c r="L8" i="37"/>
  <c r="AQ32" i="36"/>
  <c r="AP32" i="36"/>
  <c r="AO32" i="36"/>
  <c r="AN32" i="36"/>
  <c r="AM32" i="36"/>
  <c r="AL32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H32" i="36"/>
  <c r="K31" i="36"/>
  <c r="J31" i="36"/>
  <c r="I31" i="36"/>
  <c r="H31" i="36"/>
  <c r="G31" i="36"/>
  <c r="K30" i="36"/>
  <c r="J30" i="36"/>
  <c r="I30" i="36"/>
  <c r="H30" i="36"/>
  <c r="G30" i="36"/>
  <c r="K29" i="36"/>
  <c r="J29" i="36"/>
  <c r="I29" i="36"/>
  <c r="H29" i="36"/>
  <c r="G29" i="36"/>
  <c r="K28" i="36"/>
  <c r="J28" i="36"/>
  <c r="I28" i="36"/>
  <c r="H28" i="36"/>
  <c r="G28" i="36"/>
  <c r="K27" i="36"/>
  <c r="J27" i="36"/>
  <c r="I27" i="36"/>
  <c r="H27" i="36"/>
  <c r="G27" i="36"/>
  <c r="K26" i="36"/>
  <c r="J26" i="36"/>
  <c r="I26" i="36"/>
  <c r="H26" i="36"/>
  <c r="G26" i="36"/>
  <c r="K25" i="36"/>
  <c r="J25" i="36"/>
  <c r="I25" i="36"/>
  <c r="H25" i="36"/>
  <c r="G25" i="36"/>
  <c r="K24" i="36"/>
  <c r="J24" i="36"/>
  <c r="I24" i="36"/>
  <c r="H24" i="36"/>
  <c r="G24" i="36"/>
  <c r="K23" i="36"/>
  <c r="J23" i="36"/>
  <c r="I23" i="36"/>
  <c r="H23" i="36"/>
  <c r="G23" i="36"/>
  <c r="K22" i="36"/>
  <c r="J22" i="36"/>
  <c r="I22" i="36"/>
  <c r="H22" i="36"/>
  <c r="G22" i="36"/>
  <c r="K21" i="36"/>
  <c r="J21" i="36"/>
  <c r="I21" i="36"/>
  <c r="H21" i="36"/>
  <c r="G21" i="36"/>
  <c r="K20" i="36"/>
  <c r="J20" i="36"/>
  <c r="I20" i="36"/>
  <c r="H20" i="36"/>
  <c r="G20" i="36"/>
  <c r="K19" i="36"/>
  <c r="J19" i="36"/>
  <c r="I19" i="36"/>
  <c r="H19" i="36"/>
  <c r="G19" i="36"/>
  <c r="K18" i="36"/>
  <c r="J18" i="36"/>
  <c r="I18" i="36"/>
  <c r="H18" i="36"/>
  <c r="G18" i="36"/>
  <c r="K17" i="36"/>
  <c r="J17" i="36"/>
  <c r="I17" i="36"/>
  <c r="H17" i="36"/>
  <c r="G17" i="36"/>
  <c r="K16" i="36"/>
  <c r="J16" i="36"/>
  <c r="I16" i="36"/>
  <c r="H16" i="36"/>
  <c r="G16" i="36"/>
  <c r="K15" i="36"/>
  <c r="J15" i="36"/>
  <c r="I15" i="36"/>
  <c r="H15" i="36"/>
  <c r="G15" i="36"/>
  <c r="K14" i="36"/>
  <c r="J14" i="36"/>
  <c r="I14" i="36"/>
  <c r="H14" i="36"/>
  <c r="G14" i="36"/>
  <c r="K13" i="36"/>
  <c r="J13" i="36"/>
  <c r="I13" i="36"/>
  <c r="H13" i="36"/>
  <c r="G13" i="36"/>
  <c r="K12" i="36"/>
  <c r="J12" i="36"/>
  <c r="I12" i="36"/>
  <c r="H12" i="36"/>
  <c r="G12" i="36"/>
  <c r="AP8" i="36"/>
  <c r="AN8" i="36"/>
  <c r="AL8" i="36"/>
  <c r="AJ8" i="36"/>
  <c r="AH8" i="36"/>
  <c r="AF8" i="36"/>
  <c r="AD8" i="36"/>
  <c r="AB8" i="36"/>
  <c r="Z8" i="36"/>
  <c r="X8" i="36"/>
  <c r="V8" i="36"/>
  <c r="T8" i="36"/>
  <c r="R8" i="36"/>
  <c r="P8" i="36"/>
  <c r="N8" i="36"/>
  <c r="L8" i="36"/>
  <c r="AQ32" i="35"/>
  <c r="AP32" i="35"/>
  <c r="AO32" i="35"/>
  <c r="AN32" i="35"/>
  <c r="AM32" i="35"/>
  <c r="AL32" i="35"/>
  <c r="AK32" i="35"/>
  <c r="AJ32" i="35"/>
  <c r="AI32" i="35"/>
  <c r="AH32" i="35"/>
  <c r="AG32" i="35"/>
  <c r="AF32" i="35"/>
  <c r="AE32" i="35"/>
  <c r="AD32" i="35"/>
  <c r="AC32" i="35"/>
  <c r="AB32" i="35"/>
  <c r="AA32" i="35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H32" i="35"/>
  <c r="K31" i="35"/>
  <c r="J31" i="35"/>
  <c r="I31" i="35"/>
  <c r="H31" i="35"/>
  <c r="G31" i="35"/>
  <c r="K30" i="35"/>
  <c r="J30" i="35"/>
  <c r="I30" i="35"/>
  <c r="H30" i="35"/>
  <c r="G30" i="35"/>
  <c r="K29" i="35"/>
  <c r="J29" i="35"/>
  <c r="I29" i="35"/>
  <c r="H29" i="35"/>
  <c r="G29" i="35"/>
  <c r="K28" i="35"/>
  <c r="J28" i="35"/>
  <c r="I28" i="35"/>
  <c r="H28" i="35"/>
  <c r="G28" i="35"/>
  <c r="K27" i="35"/>
  <c r="J27" i="35"/>
  <c r="I27" i="35"/>
  <c r="H27" i="35"/>
  <c r="G27" i="35"/>
  <c r="K26" i="35"/>
  <c r="J26" i="35"/>
  <c r="I26" i="35"/>
  <c r="H26" i="35"/>
  <c r="G26" i="35"/>
  <c r="K25" i="35"/>
  <c r="J25" i="35"/>
  <c r="I25" i="35"/>
  <c r="H25" i="35"/>
  <c r="G25" i="35"/>
  <c r="K24" i="35"/>
  <c r="J24" i="35"/>
  <c r="I24" i="35"/>
  <c r="H24" i="35"/>
  <c r="G24" i="35"/>
  <c r="K23" i="35"/>
  <c r="J23" i="35"/>
  <c r="I23" i="35"/>
  <c r="H23" i="35"/>
  <c r="G23" i="35"/>
  <c r="K22" i="35"/>
  <c r="J22" i="35"/>
  <c r="I22" i="35"/>
  <c r="H22" i="35"/>
  <c r="G22" i="35"/>
  <c r="K21" i="35"/>
  <c r="J21" i="35"/>
  <c r="I21" i="35"/>
  <c r="H21" i="35"/>
  <c r="G21" i="35"/>
  <c r="K20" i="35"/>
  <c r="J20" i="35"/>
  <c r="I20" i="35"/>
  <c r="H20" i="35"/>
  <c r="G20" i="35"/>
  <c r="K19" i="35"/>
  <c r="J19" i="35"/>
  <c r="I19" i="35"/>
  <c r="H19" i="35"/>
  <c r="G19" i="35"/>
  <c r="K18" i="35"/>
  <c r="J18" i="35"/>
  <c r="I18" i="35"/>
  <c r="H18" i="35"/>
  <c r="G18" i="35"/>
  <c r="K17" i="35"/>
  <c r="J17" i="35"/>
  <c r="I17" i="35"/>
  <c r="H17" i="35"/>
  <c r="G17" i="35"/>
  <c r="K16" i="35"/>
  <c r="J16" i="35"/>
  <c r="I16" i="35"/>
  <c r="H16" i="35"/>
  <c r="G16" i="35"/>
  <c r="K15" i="35"/>
  <c r="J15" i="35"/>
  <c r="I15" i="35"/>
  <c r="H15" i="35"/>
  <c r="G15" i="35"/>
  <c r="K14" i="35"/>
  <c r="J14" i="35"/>
  <c r="I14" i="35"/>
  <c r="H14" i="35"/>
  <c r="G14" i="35"/>
  <c r="K13" i="35"/>
  <c r="J13" i="35"/>
  <c r="I13" i="35"/>
  <c r="H13" i="35"/>
  <c r="G13" i="35"/>
  <c r="K12" i="35"/>
  <c r="J12" i="35"/>
  <c r="I12" i="35"/>
  <c r="H12" i="35"/>
  <c r="G12" i="35"/>
  <c r="AP8" i="35"/>
  <c r="AN8" i="35"/>
  <c r="AL8" i="35"/>
  <c r="AJ8" i="35"/>
  <c r="AH8" i="35"/>
  <c r="AF8" i="35"/>
  <c r="AD8" i="35"/>
  <c r="AB8" i="35"/>
  <c r="Z8" i="35"/>
  <c r="X8" i="35"/>
  <c r="V8" i="35"/>
  <c r="T8" i="35"/>
  <c r="R8" i="35"/>
  <c r="P8" i="35"/>
  <c r="N8" i="35"/>
  <c r="L8" i="35"/>
  <c r="AQ32" i="34"/>
  <c r="AP32" i="34"/>
  <c r="AO32" i="34"/>
  <c r="AN32" i="34"/>
  <c r="AM32" i="34"/>
  <c r="AL32" i="34"/>
  <c r="AK32" i="34"/>
  <c r="AJ32" i="34"/>
  <c r="AI32" i="34"/>
  <c r="AH32" i="34"/>
  <c r="AG32" i="34"/>
  <c r="AF32" i="34"/>
  <c r="AE32" i="34"/>
  <c r="AD32" i="34"/>
  <c r="AC32" i="34"/>
  <c r="AB32" i="34"/>
  <c r="AA32" i="34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H32" i="34"/>
  <c r="K31" i="34"/>
  <c r="J31" i="34"/>
  <c r="I31" i="34"/>
  <c r="H31" i="34"/>
  <c r="G31" i="34"/>
  <c r="K30" i="34"/>
  <c r="J30" i="34"/>
  <c r="I30" i="34"/>
  <c r="H30" i="34"/>
  <c r="G30" i="34"/>
  <c r="K29" i="34"/>
  <c r="J29" i="34"/>
  <c r="I29" i="34"/>
  <c r="H29" i="34"/>
  <c r="G29" i="34"/>
  <c r="K28" i="34"/>
  <c r="J28" i="34"/>
  <c r="I28" i="34"/>
  <c r="H28" i="34"/>
  <c r="G28" i="34"/>
  <c r="K27" i="34"/>
  <c r="J27" i="34"/>
  <c r="I27" i="34"/>
  <c r="H27" i="34"/>
  <c r="G27" i="34"/>
  <c r="K26" i="34"/>
  <c r="J26" i="34"/>
  <c r="I26" i="34"/>
  <c r="H26" i="34"/>
  <c r="G26" i="34"/>
  <c r="K25" i="34"/>
  <c r="J25" i="34"/>
  <c r="I25" i="34"/>
  <c r="H25" i="34"/>
  <c r="G25" i="34"/>
  <c r="K24" i="34"/>
  <c r="J24" i="34"/>
  <c r="I24" i="34"/>
  <c r="H24" i="34"/>
  <c r="G24" i="34"/>
  <c r="K23" i="34"/>
  <c r="J23" i="34"/>
  <c r="I23" i="34"/>
  <c r="H23" i="34"/>
  <c r="G23" i="34"/>
  <c r="K22" i="34"/>
  <c r="J22" i="34"/>
  <c r="I22" i="34"/>
  <c r="H22" i="34"/>
  <c r="G22" i="34"/>
  <c r="K21" i="34"/>
  <c r="J21" i="34"/>
  <c r="I21" i="34"/>
  <c r="H21" i="34"/>
  <c r="G21" i="34"/>
  <c r="K20" i="34"/>
  <c r="J20" i="34"/>
  <c r="I20" i="34"/>
  <c r="H20" i="34"/>
  <c r="G20" i="34"/>
  <c r="K19" i="34"/>
  <c r="J19" i="34"/>
  <c r="I19" i="34"/>
  <c r="H19" i="34"/>
  <c r="G19" i="34"/>
  <c r="K18" i="34"/>
  <c r="J18" i="34"/>
  <c r="I18" i="34"/>
  <c r="H18" i="34"/>
  <c r="G18" i="34"/>
  <c r="K17" i="34"/>
  <c r="J17" i="34"/>
  <c r="I17" i="34"/>
  <c r="H17" i="34"/>
  <c r="G17" i="34"/>
  <c r="K16" i="34"/>
  <c r="J16" i="34"/>
  <c r="I16" i="34"/>
  <c r="H16" i="34"/>
  <c r="G16" i="34"/>
  <c r="K15" i="34"/>
  <c r="J15" i="34"/>
  <c r="I15" i="34"/>
  <c r="H15" i="34"/>
  <c r="G15" i="34"/>
  <c r="K14" i="34"/>
  <c r="J14" i="34"/>
  <c r="I14" i="34"/>
  <c r="H14" i="34"/>
  <c r="G14" i="34"/>
  <c r="K13" i="34"/>
  <c r="J13" i="34"/>
  <c r="I13" i="34"/>
  <c r="H13" i="34"/>
  <c r="G13" i="34"/>
  <c r="K12" i="34"/>
  <c r="J12" i="34"/>
  <c r="I12" i="34"/>
  <c r="H12" i="34"/>
  <c r="G12" i="34"/>
  <c r="AP8" i="34"/>
  <c r="AN8" i="34"/>
  <c r="AL8" i="34"/>
  <c r="AJ8" i="34"/>
  <c r="AH8" i="34"/>
  <c r="AF8" i="34"/>
  <c r="AD8" i="34"/>
  <c r="AB8" i="34"/>
  <c r="Z8" i="34"/>
  <c r="X8" i="34"/>
  <c r="V8" i="34"/>
  <c r="T8" i="34"/>
  <c r="R8" i="34"/>
  <c r="P8" i="34"/>
  <c r="N8" i="34"/>
  <c r="L8" i="34"/>
  <c r="AQ32" i="32"/>
  <c r="AP32" i="32"/>
  <c r="AO32" i="32"/>
  <c r="AN32" i="32"/>
  <c r="AM32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H32" i="32"/>
  <c r="K31" i="32"/>
  <c r="J31" i="32"/>
  <c r="I31" i="32"/>
  <c r="H31" i="32"/>
  <c r="G31" i="32"/>
  <c r="K30" i="32"/>
  <c r="J30" i="32"/>
  <c r="I30" i="32"/>
  <c r="H30" i="32"/>
  <c r="G30" i="32"/>
  <c r="K29" i="32"/>
  <c r="J29" i="32"/>
  <c r="I29" i="32"/>
  <c r="H29" i="32"/>
  <c r="G29" i="32"/>
  <c r="K28" i="32"/>
  <c r="J28" i="32"/>
  <c r="I28" i="32"/>
  <c r="H28" i="32"/>
  <c r="G28" i="32"/>
  <c r="K27" i="32"/>
  <c r="J27" i="32"/>
  <c r="I27" i="32"/>
  <c r="H27" i="32"/>
  <c r="G27" i="32"/>
  <c r="K26" i="32"/>
  <c r="J26" i="32"/>
  <c r="I26" i="32"/>
  <c r="H26" i="32"/>
  <c r="G26" i="32"/>
  <c r="K25" i="32"/>
  <c r="J25" i="32"/>
  <c r="I25" i="32"/>
  <c r="H25" i="32"/>
  <c r="G25" i="32"/>
  <c r="K24" i="32"/>
  <c r="J24" i="32"/>
  <c r="I24" i="32"/>
  <c r="H24" i="32"/>
  <c r="G24" i="32"/>
  <c r="K23" i="32"/>
  <c r="J23" i="32"/>
  <c r="I23" i="32"/>
  <c r="H23" i="32"/>
  <c r="G23" i="32"/>
  <c r="K22" i="32"/>
  <c r="J22" i="32"/>
  <c r="I22" i="32"/>
  <c r="H22" i="32"/>
  <c r="G22" i="32"/>
  <c r="K21" i="32"/>
  <c r="J21" i="32"/>
  <c r="I21" i="32"/>
  <c r="H21" i="32"/>
  <c r="G21" i="32"/>
  <c r="K20" i="32"/>
  <c r="J20" i="32"/>
  <c r="I20" i="32"/>
  <c r="H20" i="32"/>
  <c r="G20" i="32"/>
  <c r="K19" i="32"/>
  <c r="J19" i="32"/>
  <c r="I19" i="32"/>
  <c r="H19" i="32"/>
  <c r="G19" i="32"/>
  <c r="K18" i="32"/>
  <c r="J18" i="32"/>
  <c r="I18" i="32"/>
  <c r="H18" i="32"/>
  <c r="G18" i="32"/>
  <c r="K17" i="32"/>
  <c r="J17" i="32"/>
  <c r="I17" i="32"/>
  <c r="H17" i="32"/>
  <c r="G17" i="32"/>
  <c r="K16" i="32"/>
  <c r="J16" i="32"/>
  <c r="I16" i="32"/>
  <c r="H16" i="32"/>
  <c r="G16" i="32"/>
  <c r="K15" i="32"/>
  <c r="J15" i="32"/>
  <c r="I15" i="32"/>
  <c r="H15" i="32"/>
  <c r="G15" i="32"/>
  <c r="K14" i="32"/>
  <c r="J14" i="32"/>
  <c r="I14" i="32"/>
  <c r="H14" i="32"/>
  <c r="G14" i="32"/>
  <c r="K13" i="32"/>
  <c r="J13" i="32"/>
  <c r="I13" i="32"/>
  <c r="H13" i="32"/>
  <c r="G13" i="32"/>
  <c r="K12" i="32"/>
  <c r="J12" i="32"/>
  <c r="I12" i="32"/>
  <c r="H12" i="32"/>
  <c r="G12" i="32"/>
  <c r="AP8" i="32"/>
  <c r="AN8" i="32"/>
  <c r="AL8" i="32"/>
  <c r="AJ8" i="32"/>
  <c r="AH8" i="32"/>
  <c r="AF8" i="32"/>
  <c r="AD8" i="32"/>
  <c r="AB8" i="32"/>
  <c r="Z8" i="32"/>
  <c r="X8" i="32"/>
  <c r="V8" i="32"/>
  <c r="T8" i="32"/>
  <c r="R8" i="32"/>
  <c r="P8" i="32"/>
  <c r="N8" i="32"/>
  <c r="L8" i="32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H32" i="3"/>
  <c r="K31" i="3"/>
  <c r="J31" i="3"/>
  <c r="I31" i="3"/>
  <c r="H31" i="3"/>
  <c r="G31" i="3"/>
  <c r="K30" i="3"/>
  <c r="J30" i="3"/>
  <c r="I30" i="3"/>
  <c r="H30" i="3"/>
  <c r="G30" i="3"/>
  <c r="K29" i="3"/>
  <c r="J29" i="3"/>
  <c r="I29" i="3"/>
  <c r="H29" i="3"/>
  <c r="G29" i="3"/>
  <c r="K28" i="3"/>
  <c r="J28" i="3"/>
  <c r="I28" i="3"/>
  <c r="H28" i="3"/>
  <c r="G28" i="3"/>
  <c r="K27" i="3"/>
  <c r="J27" i="3"/>
  <c r="I27" i="3"/>
  <c r="H27" i="3"/>
  <c r="G27" i="3"/>
  <c r="K26" i="3"/>
  <c r="J26" i="3"/>
  <c r="I26" i="3"/>
  <c r="H26" i="3"/>
  <c r="G26" i="3"/>
  <c r="K25" i="3"/>
  <c r="J25" i="3"/>
  <c r="I25" i="3"/>
  <c r="H25" i="3"/>
  <c r="G25" i="3"/>
  <c r="K24" i="3"/>
  <c r="J24" i="3"/>
  <c r="I24" i="3"/>
  <c r="H24" i="3"/>
  <c r="G24" i="3"/>
  <c r="K23" i="3"/>
  <c r="J23" i="3"/>
  <c r="I23" i="3"/>
  <c r="H23" i="3"/>
  <c r="G23" i="3"/>
  <c r="K22" i="3"/>
  <c r="J22" i="3"/>
  <c r="I22" i="3"/>
  <c r="H22" i="3"/>
  <c r="G22" i="3"/>
  <c r="K21" i="3"/>
  <c r="J21" i="3"/>
  <c r="I21" i="3"/>
  <c r="H21" i="3"/>
  <c r="G21" i="3"/>
  <c r="K20" i="3"/>
  <c r="J20" i="3"/>
  <c r="I20" i="3"/>
  <c r="H20" i="3"/>
  <c r="G20" i="3"/>
  <c r="K19" i="3"/>
  <c r="J19" i="3"/>
  <c r="I19" i="3"/>
  <c r="H19" i="3"/>
  <c r="G19" i="3"/>
  <c r="K18" i="3"/>
  <c r="J18" i="3"/>
  <c r="I18" i="3"/>
  <c r="H18" i="3"/>
  <c r="G18" i="3"/>
  <c r="K17" i="3"/>
  <c r="J17" i="3"/>
  <c r="I17" i="3"/>
  <c r="H17" i="3"/>
  <c r="G17" i="3"/>
  <c r="K16" i="3"/>
  <c r="J16" i="3"/>
  <c r="I16" i="3"/>
  <c r="H16" i="3"/>
  <c r="G16" i="3"/>
  <c r="K15" i="3"/>
  <c r="J15" i="3"/>
  <c r="I15" i="3"/>
  <c r="H15" i="3"/>
  <c r="G15" i="3"/>
  <c r="K14" i="3"/>
  <c r="J14" i="3"/>
  <c r="I14" i="3"/>
  <c r="H14" i="3"/>
  <c r="G14" i="3"/>
  <c r="K13" i="3"/>
  <c r="J13" i="3"/>
  <c r="I13" i="3"/>
  <c r="H13" i="3"/>
  <c r="G13" i="3"/>
  <c r="K12" i="3"/>
  <c r="J12" i="3"/>
  <c r="I12" i="3"/>
  <c r="H12" i="3"/>
  <c r="G12" i="3"/>
  <c r="L8" i="3"/>
  <c r="C23" i="31" l="1"/>
  <c r="H32" i="43"/>
  <c r="H23" i="43"/>
  <c r="G23" i="43"/>
  <c r="AD8" i="43"/>
  <c r="AD8" i="44" s="1"/>
  <c r="AD8" i="45" s="1"/>
  <c r="I23" i="43"/>
  <c r="H29" i="44"/>
  <c r="I25" i="44"/>
  <c r="X26" i="31"/>
  <c r="G25" i="44"/>
  <c r="H25" i="44"/>
  <c r="I23" i="48"/>
  <c r="I25" i="48"/>
  <c r="I14" i="44"/>
  <c r="I15" i="44"/>
  <c r="H16" i="44"/>
  <c r="I17" i="44"/>
  <c r="Y26" i="31"/>
  <c r="F21" i="48" s="1"/>
  <c r="F26" i="48" s="1"/>
  <c r="G16" i="44"/>
  <c r="G14" i="44"/>
  <c r="R21" i="54"/>
  <c r="Z26" i="31"/>
  <c r="G21" i="48" s="1"/>
  <c r="I12" i="48"/>
  <c r="I14" i="48"/>
  <c r="I16" i="48"/>
  <c r="I18" i="48"/>
  <c r="K32" i="44"/>
  <c r="D24" i="31" s="1"/>
  <c r="D26" i="31" s="1"/>
  <c r="I11" i="48"/>
  <c r="I13" i="48"/>
  <c r="I15" i="48"/>
  <c r="I17" i="48"/>
  <c r="I19" i="48"/>
  <c r="G17" i="44"/>
  <c r="J32" i="44"/>
  <c r="H17" i="44"/>
  <c r="H11" i="48"/>
  <c r="H12" i="48"/>
  <c r="H13" i="48"/>
  <c r="H14" i="48"/>
  <c r="H15" i="48"/>
  <c r="H16" i="48"/>
  <c r="H17" i="48"/>
  <c r="H18" i="48"/>
  <c r="H19" i="48"/>
  <c r="H22" i="48"/>
  <c r="H23" i="48"/>
  <c r="H24" i="48"/>
  <c r="H25" i="48"/>
  <c r="G20" i="48" l="1"/>
  <c r="H21" i="48"/>
  <c r="I21" i="48"/>
  <c r="C24" i="31"/>
  <c r="C26" i="31" s="1"/>
  <c r="H32" i="44"/>
  <c r="I20" i="48" l="1"/>
  <c r="I26" i="48" s="1"/>
  <c r="H20" i="48"/>
  <c r="H26" i="48" s="1"/>
  <c r="G26" i="48"/>
</calcChain>
</file>

<file path=xl/sharedStrings.xml><?xml version="1.0" encoding="utf-8"?>
<sst xmlns="http://schemas.openxmlformats.org/spreadsheetml/2006/main" count="1044" uniqueCount="112">
  <si>
    <t>م</t>
  </si>
  <si>
    <t>اسم الحساب</t>
  </si>
  <si>
    <t>النقديه</t>
  </si>
  <si>
    <t>البنك</t>
  </si>
  <si>
    <t>المبيعات</t>
  </si>
  <si>
    <t>المشتريات</t>
  </si>
  <si>
    <t>العملاء</t>
  </si>
  <si>
    <t>الموردون</t>
  </si>
  <si>
    <t>جارى الشركاء</t>
  </si>
  <si>
    <t>راس المال</t>
  </si>
  <si>
    <t>المخزون</t>
  </si>
  <si>
    <t>الايرادات</t>
  </si>
  <si>
    <t>المصروفات</t>
  </si>
  <si>
    <t>أرصده مدينة</t>
  </si>
  <si>
    <t>أرصده دائنة</t>
  </si>
  <si>
    <t>أرباح مرحله</t>
  </si>
  <si>
    <t>الضريبه المضافه</t>
  </si>
  <si>
    <t xml:space="preserve">التاريخ </t>
  </si>
  <si>
    <t>البيان</t>
  </si>
  <si>
    <t>نوع البيان</t>
  </si>
  <si>
    <t>صرف</t>
  </si>
  <si>
    <t>التحصيل</t>
  </si>
  <si>
    <t>اثبات</t>
  </si>
  <si>
    <t>متزن</t>
  </si>
  <si>
    <t>الفرق</t>
  </si>
  <si>
    <t>الاجمالى</t>
  </si>
  <si>
    <t xml:space="preserve">مدين </t>
  </si>
  <si>
    <t>دائن</t>
  </si>
  <si>
    <t>النقدية</t>
  </si>
  <si>
    <t>جارى الشركات</t>
  </si>
  <si>
    <t>رأس المال</t>
  </si>
  <si>
    <t>ارصده مدينة</t>
  </si>
  <si>
    <t>ارصده دائنة</t>
  </si>
  <si>
    <t>ارباح مرحله</t>
  </si>
  <si>
    <t>القيمه المضافة</t>
  </si>
  <si>
    <t>الشهر</t>
  </si>
  <si>
    <t>الارصدة الافتتاحية</t>
  </si>
  <si>
    <t>يناير</t>
  </si>
  <si>
    <t>فبراير</t>
  </si>
  <si>
    <t>مارس</t>
  </si>
  <si>
    <t>ابريل</t>
  </si>
  <si>
    <t>مايو</t>
  </si>
  <si>
    <t>يونيو</t>
  </si>
  <si>
    <t>يوليو</t>
  </si>
  <si>
    <t>اغسطس</t>
  </si>
  <si>
    <t>سبتمبر</t>
  </si>
  <si>
    <t>نوفمبر</t>
  </si>
  <si>
    <t>ديسمبر</t>
  </si>
  <si>
    <t>التسويات</t>
  </si>
  <si>
    <t>اكتوبر</t>
  </si>
  <si>
    <t>المجاميع</t>
  </si>
  <si>
    <t>الارصده</t>
  </si>
  <si>
    <t>التاريخ</t>
  </si>
  <si>
    <t>اسم العميل</t>
  </si>
  <si>
    <t>الضريبه</t>
  </si>
  <si>
    <t>الخصم</t>
  </si>
  <si>
    <t xml:space="preserve">الصافى </t>
  </si>
  <si>
    <t>المدفوع</t>
  </si>
  <si>
    <t>الرصيد</t>
  </si>
  <si>
    <t xml:space="preserve">اسم العميل </t>
  </si>
  <si>
    <t>محمد احمد</t>
  </si>
  <si>
    <t>سعيد محمد</t>
  </si>
  <si>
    <t>يوسف حسين</t>
  </si>
  <si>
    <t>عبدالسلام احمد</t>
  </si>
  <si>
    <t>سيد محمود</t>
  </si>
  <si>
    <t>خميس عطيه</t>
  </si>
  <si>
    <t>ياسين محمود</t>
  </si>
  <si>
    <t>طه عبدالله</t>
  </si>
  <si>
    <t>قائمه العملاء</t>
  </si>
  <si>
    <t>الرصيد التحليلى</t>
  </si>
  <si>
    <t>رصيد المركزى</t>
  </si>
  <si>
    <t>الحاله</t>
  </si>
  <si>
    <t>الموردين</t>
  </si>
  <si>
    <t>القيد</t>
  </si>
  <si>
    <t>اجمالى المدين</t>
  </si>
  <si>
    <t>اجمالى الدائن</t>
  </si>
  <si>
    <t>غاز</t>
  </si>
  <si>
    <t>مياه</t>
  </si>
  <si>
    <t>كهرباء</t>
  </si>
  <si>
    <t>انترنت</t>
  </si>
  <si>
    <t>مصروفات نثريه</t>
  </si>
  <si>
    <t>مصروفات اخرى</t>
  </si>
  <si>
    <t>الشهور</t>
  </si>
  <si>
    <t xml:space="preserve">دائن </t>
  </si>
  <si>
    <t>مدين</t>
  </si>
  <si>
    <t>المركزية</t>
  </si>
  <si>
    <t>بيع</t>
  </si>
  <si>
    <t xml:space="preserve">الشهر </t>
  </si>
  <si>
    <t>الاجمالى التحليلى</t>
  </si>
  <si>
    <t>اجمالى المركزية</t>
  </si>
  <si>
    <t>اسم الاصل</t>
  </si>
  <si>
    <t>التصنيف</t>
  </si>
  <si>
    <t>تاريخ الشراء</t>
  </si>
  <si>
    <t>المبلغ</t>
  </si>
  <si>
    <t>مجموع الاهلاك اول الفترة</t>
  </si>
  <si>
    <t>نسبة الاهلاك "سنوى"</t>
  </si>
  <si>
    <t>مجموع الاهلاك اخر الفترة</t>
  </si>
  <si>
    <t>عمر الاصل</t>
  </si>
  <si>
    <t>صافى قيمة الاصل</t>
  </si>
  <si>
    <t>الاراضى</t>
  </si>
  <si>
    <t>الانشاءات</t>
  </si>
  <si>
    <t>الالات والمعدات</t>
  </si>
  <si>
    <t>الاثاث المكتبى والادوات</t>
  </si>
  <si>
    <t>اجهزه</t>
  </si>
  <si>
    <t>وسائل النقل</t>
  </si>
  <si>
    <t>الحاسب الالى واجهزه الكمبيوتر</t>
  </si>
  <si>
    <t>النسبه%</t>
  </si>
  <si>
    <t>مكاتب</t>
  </si>
  <si>
    <t>جرار</t>
  </si>
  <si>
    <t>ارض فضاء</t>
  </si>
  <si>
    <t>حاسب الى</t>
  </si>
  <si>
    <t xml:space="preserve">سنه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</si>
</sst>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/mmm/yy;@"/>
    <numFmt numFmtId="168" formatCode="0.0%"/>
    <numFmt numFmtId="171" formatCode="[$-409]mmmm\ d\,\ yyyy;@"/>
    <numFmt numFmtId="174" formatCode="[$-409]d/mmm/yyyy;@"/>
  </numFmts>
  <fonts count="9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 vertical="center"/>
    </xf>
    <xf numFmtId="0" fontId="0" fillId="4" borderId="0" xfId="0" applyFill="1"/>
    <xf numFmtId="0" fontId="4" fillId="4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5" fillId="3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right" vertical="center"/>
    </xf>
    <xf numFmtId="0" fontId="0" fillId="7" borderId="0" xfId="0" applyFill="1"/>
    <xf numFmtId="43" fontId="4" fillId="8" borderId="0" xfId="0" applyNumberFormat="1" applyFont="1" applyFill="1" applyAlignment="1">
      <alignment horizontal="right" vertical="center"/>
    </xf>
    <xf numFmtId="43" fontId="0" fillId="8" borderId="0" xfId="0" applyNumberFormat="1" applyFill="1"/>
    <xf numFmtId="164" fontId="0" fillId="8" borderId="0" xfId="0" applyNumberFormat="1" applyFill="1"/>
    <xf numFmtId="164" fontId="5" fillId="3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43" fontId="0" fillId="9" borderId="0" xfId="0" applyNumberFormat="1" applyFill="1"/>
    <xf numFmtId="164" fontId="5" fillId="3" borderId="8" xfId="0" applyNumberFormat="1" applyFont="1" applyFill="1" applyBorder="1" applyAlignment="1">
      <alignment vertical="center"/>
    </xf>
    <xf numFmtId="164" fontId="7" fillId="11" borderId="1" xfId="0" applyNumberFormat="1" applyFont="1" applyFill="1" applyBorder="1" applyAlignment="1">
      <alignment horizontal="center" vertical="center"/>
    </xf>
    <xf numFmtId="43" fontId="7" fillId="11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43" fontId="7" fillId="2" borderId="1" xfId="0" applyNumberFormat="1" applyFont="1" applyFill="1" applyBorder="1" applyAlignment="1">
      <alignment horizontal="center" vertical="center"/>
    </xf>
    <xf numFmtId="43" fontId="7" fillId="11" borderId="6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43" fontId="3" fillId="10" borderId="1" xfId="0" applyNumberFormat="1" applyFont="1" applyFill="1" applyBorder="1" applyAlignment="1">
      <alignment horizontal="center" vertical="center"/>
    </xf>
    <xf numFmtId="43" fontId="7" fillId="12" borderId="9" xfId="0" applyNumberFormat="1" applyFont="1" applyFill="1" applyBorder="1" applyAlignment="1">
      <alignment horizontal="center" vertical="center"/>
    </xf>
    <xf numFmtId="43" fontId="0" fillId="3" borderId="0" xfId="0" applyNumberFormat="1" applyFill="1"/>
    <xf numFmtId="43" fontId="7" fillId="2" borderId="6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vertical="center"/>
    </xf>
    <xf numFmtId="43" fontId="3" fillId="10" borderId="1" xfId="0" applyNumberFormat="1" applyFont="1" applyFill="1" applyBorder="1" applyAlignment="1">
      <alignment vertical="center"/>
    </xf>
    <xf numFmtId="41" fontId="6" fillId="8" borderId="1" xfId="0" applyNumberFormat="1" applyFont="1" applyFill="1" applyBorder="1" applyAlignment="1">
      <alignment horizontal="center" vertical="center"/>
    </xf>
    <xf numFmtId="41" fontId="6" fillId="3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43" fontId="4" fillId="8" borderId="10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43" fontId="3" fillId="12" borderId="0" xfId="0" applyNumberFormat="1" applyFont="1" applyFill="1" applyAlignment="1">
      <alignment horizontal="center" vertical="center"/>
    </xf>
    <xf numFmtId="43" fontId="4" fillId="8" borderId="10" xfId="0" applyNumberFormat="1" applyFont="1" applyFill="1" applyBorder="1" applyAlignment="1">
      <alignment horizontal="center" vertical="center"/>
    </xf>
    <xf numFmtId="43" fontId="2" fillId="8" borderId="1" xfId="0" applyNumberFormat="1" applyFont="1" applyFill="1" applyBorder="1" applyAlignment="1">
      <alignment horizontal="center" vertical="center"/>
    </xf>
    <xf numFmtId="9" fontId="2" fillId="8" borderId="1" xfId="1" applyNumberFormat="1" applyFont="1" applyFill="1" applyBorder="1" applyAlignment="1">
      <alignment horizontal="center" vertical="center"/>
    </xf>
    <xf numFmtId="168" fontId="2" fillId="8" borderId="1" xfId="1" applyNumberFormat="1" applyFont="1" applyFill="1" applyBorder="1" applyAlignment="1">
      <alignment horizontal="center" vertical="center"/>
    </xf>
    <xf numFmtId="171" fontId="7" fillId="11" borderId="1" xfId="0" applyNumberFormat="1" applyFont="1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174" fontId="0" fillId="8" borderId="0" xfId="0" applyNumberFormat="1" applyFill="1"/>
    <xf numFmtId="174" fontId="7" fillId="11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2"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7C80"/>
      <color rgb="FFCCECFF"/>
      <color rgb="FF000066"/>
      <color rgb="FF663300"/>
      <color rgb="FF660033"/>
      <color rgb="FFCC00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6'!A1"/><Relationship Id="rId13" Type="http://schemas.openxmlformats.org/officeDocument/2006/relationships/hyperlink" Target="#'12'!A1"/><Relationship Id="rId3" Type="http://schemas.openxmlformats.org/officeDocument/2006/relationships/hyperlink" Target="#'1'!A1"/><Relationship Id="rId7" Type="http://schemas.openxmlformats.org/officeDocument/2006/relationships/hyperlink" Target="#'5'!A1"/><Relationship Id="rId12" Type="http://schemas.openxmlformats.org/officeDocument/2006/relationships/hyperlink" Target="#'8'!A1"/><Relationship Id="rId2" Type="http://schemas.openxmlformats.org/officeDocument/2006/relationships/hyperlink" Target="#'&#1575;&#1585;&#1589;&#1583;&#1607; &#1575;&#1601;&#1578;&#1578;&#1575;&#1581;&#1610;&#1607;'!A1"/><Relationship Id="rId16" Type="http://schemas.openxmlformats.org/officeDocument/2006/relationships/image" Target="../media/image1.jpg"/><Relationship Id="rId1" Type="http://schemas.openxmlformats.org/officeDocument/2006/relationships/hyperlink" Target="#'&#1583;&#1604;&#1610;&#1604; &#1575;&#1604;&#1581;&#1587;&#1575;&#1576;&#1575;&#1578;'!A1"/><Relationship Id="rId6" Type="http://schemas.openxmlformats.org/officeDocument/2006/relationships/hyperlink" Target="#'4'!A1"/><Relationship Id="rId11" Type="http://schemas.openxmlformats.org/officeDocument/2006/relationships/hyperlink" Target="#'11'!A1"/><Relationship Id="rId5" Type="http://schemas.openxmlformats.org/officeDocument/2006/relationships/hyperlink" Target="#'3'!A1"/><Relationship Id="rId15" Type="http://schemas.openxmlformats.org/officeDocument/2006/relationships/hyperlink" Target="#&#1578;&#1587;&#1608;&#1610;&#1575;&#1578;!A1"/><Relationship Id="rId10" Type="http://schemas.openxmlformats.org/officeDocument/2006/relationships/hyperlink" Target="#'10'!A1"/><Relationship Id="rId4" Type="http://schemas.openxmlformats.org/officeDocument/2006/relationships/hyperlink" Target="#'2'!A1"/><Relationship Id="rId9" Type="http://schemas.openxmlformats.org/officeDocument/2006/relationships/hyperlink" Target="#'9'!A1"/><Relationship Id="rId14" Type="http://schemas.openxmlformats.org/officeDocument/2006/relationships/hyperlink" Target="#'7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image" Target="../media/image2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hyperlink" Target="#'&#1575;&#1604;&#1589;&#1601;&#1581;&#1607; &#1575;&#1604;&#1585;&#1574;&#1610;&#1587;&#1610;&#1607;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8</xdr:row>
      <xdr:rowOff>1</xdr:rowOff>
    </xdr:from>
    <xdr:to>
      <xdr:col>10</xdr:col>
      <xdr:colOff>504825</xdr:colOff>
      <xdr:row>27</xdr:row>
      <xdr:rowOff>123826</xdr:rowOff>
    </xdr:to>
    <xdr:sp macro="" textlink="">
      <xdr:nvSpPr>
        <xdr:cNvPr id="25" name="Rounded Rectangle 24"/>
        <xdr:cNvSpPr/>
      </xdr:nvSpPr>
      <xdr:spPr>
        <a:xfrm>
          <a:off x="11229470175" y="1981201"/>
          <a:ext cx="4391025" cy="3562350"/>
        </a:xfrm>
        <a:prstGeom prst="roundRect">
          <a:avLst/>
        </a:prstGeom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EG" sz="1100"/>
        </a:p>
      </xdr:txBody>
    </xdr:sp>
    <xdr:clientData/>
  </xdr:twoCellAnchor>
  <xdr:twoCellAnchor>
    <xdr:from>
      <xdr:col>1</xdr:col>
      <xdr:colOff>104774</xdr:colOff>
      <xdr:row>8</xdr:row>
      <xdr:rowOff>38100</xdr:rowOff>
    </xdr:from>
    <xdr:to>
      <xdr:col>3</xdr:col>
      <xdr:colOff>314324</xdr:colOff>
      <xdr:row>12</xdr:row>
      <xdr:rowOff>57150</xdr:rowOff>
    </xdr:to>
    <xdr:sp macro="" textlink="">
      <xdr:nvSpPr>
        <xdr:cNvPr id="2" name="Bevel 1"/>
        <xdr:cNvSpPr/>
      </xdr:nvSpPr>
      <xdr:spPr>
        <a:xfrm>
          <a:off x="11234461276" y="2019300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دفتر</a:t>
          </a:r>
          <a:r>
            <a:rPr lang="ar-EG" sz="1800" b="1" cap="none" spc="0" baseline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 اليومية</a:t>
          </a:r>
          <a:endParaRPr lang="ar-EG" sz="1800" b="1" cap="none" spc="0">
            <a:ln w="12700">
              <a:solidFill>
                <a:schemeClr val="accent3">
                  <a:lumMod val="50000"/>
                </a:schemeClr>
              </a:solidFill>
              <a:prstDash val="solid"/>
            </a:ln>
            <a:solidFill>
              <a:sysClr val="windowText" lastClr="000000"/>
            </a:solidFill>
            <a:effectLst>
              <a:innerShdw blurRad="177800">
                <a:schemeClr val="accent3">
                  <a:lumMod val="50000"/>
                </a:schemeClr>
              </a:innerShdw>
            </a:effectLst>
          </a:endParaRPr>
        </a:p>
      </xdr:txBody>
    </xdr:sp>
    <xdr:clientData/>
  </xdr:twoCellAnchor>
  <xdr:twoCellAnchor>
    <xdr:from>
      <xdr:col>1</xdr:col>
      <xdr:colOff>95249</xdr:colOff>
      <xdr:row>12</xdr:row>
      <xdr:rowOff>171450</xdr:rowOff>
    </xdr:from>
    <xdr:to>
      <xdr:col>3</xdr:col>
      <xdr:colOff>304799</xdr:colOff>
      <xdr:row>17</xdr:row>
      <xdr:rowOff>9525</xdr:rowOff>
    </xdr:to>
    <xdr:sp macro="" textlink="">
      <xdr:nvSpPr>
        <xdr:cNvPr id="3" name="Bevel 2"/>
        <xdr:cNvSpPr/>
      </xdr:nvSpPr>
      <xdr:spPr>
        <a:xfrm>
          <a:off x="11234470801" y="2876550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كشف المبيعات</a:t>
          </a:r>
        </a:p>
      </xdr:txBody>
    </xdr:sp>
    <xdr:clientData/>
  </xdr:twoCellAnchor>
  <xdr:twoCellAnchor>
    <xdr:from>
      <xdr:col>11</xdr:col>
      <xdr:colOff>352424</xdr:colOff>
      <xdr:row>12</xdr:row>
      <xdr:rowOff>114300</xdr:rowOff>
    </xdr:from>
    <xdr:to>
      <xdr:col>13</xdr:col>
      <xdr:colOff>561974</xdr:colOff>
      <xdr:row>16</xdr:row>
      <xdr:rowOff>133350</xdr:rowOff>
    </xdr:to>
    <xdr:sp macro="" textlink="">
      <xdr:nvSpPr>
        <xdr:cNvPr id="4" name="Bevel 3"/>
        <xdr:cNvSpPr/>
      </xdr:nvSpPr>
      <xdr:spPr>
        <a:xfrm>
          <a:off x="11227355626" y="2819400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تحليل العملاء</a:t>
          </a:r>
        </a:p>
      </xdr:txBody>
    </xdr:sp>
    <xdr:clientData/>
  </xdr:twoCellAnchor>
  <xdr:twoCellAnchor>
    <xdr:from>
      <xdr:col>1</xdr:col>
      <xdr:colOff>57149</xdr:colOff>
      <xdr:row>18</xdr:row>
      <xdr:rowOff>28575</xdr:rowOff>
    </xdr:from>
    <xdr:to>
      <xdr:col>3</xdr:col>
      <xdr:colOff>266699</xdr:colOff>
      <xdr:row>22</xdr:row>
      <xdr:rowOff>47625</xdr:rowOff>
    </xdr:to>
    <xdr:sp macro="" textlink="">
      <xdr:nvSpPr>
        <xdr:cNvPr id="5" name="Bevel 4"/>
        <xdr:cNvSpPr/>
      </xdr:nvSpPr>
      <xdr:spPr>
        <a:xfrm>
          <a:off x="11234508901" y="3819525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6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كشف المصروفات</a:t>
          </a:r>
        </a:p>
      </xdr:txBody>
    </xdr:sp>
    <xdr:clientData/>
  </xdr:twoCellAnchor>
  <xdr:twoCellAnchor>
    <xdr:from>
      <xdr:col>11</xdr:col>
      <xdr:colOff>333374</xdr:colOff>
      <xdr:row>17</xdr:row>
      <xdr:rowOff>104775</xdr:rowOff>
    </xdr:from>
    <xdr:to>
      <xdr:col>13</xdr:col>
      <xdr:colOff>542924</xdr:colOff>
      <xdr:row>21</xdr:row>
      <xdr:rowOff>123825</xdr:rowOff>
    </xdr:to>
    <xdr:sp macro="" textlink="">
      <xdr:nvSpPr>
        <xdr:cNvPr id="6" name="Bevel 5"/>
        <xdr:cNvSpPr/>
      </xdr:nvSpPr>
      <xdr:spPr>
        <a:xfrm>
          <a:off x="11227374676" y="3714750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تحليل الموردين</a:t>
          </a:r>
        </a:p>
      </xdr:txBody>
    </xdr:sp>
    <xdr:clientData/>
  </xdr:twoCellAnchor>
  <xdr:twoCellAnchor>
    <xdr:from>
      <xdr:col>11</xdr:col>
      <xdr:colOff>361949</xdr:colOff>
      <xdr:row>7</xdr:row>
      <xdr:rowOff>152400</xdr:rowOff>
    </xdr:from>
    <xdr:to>
      <xdr:col>13</xdr:col>
      <xdr:colOff>571499</xdr:colOff>
      <xdr:row>11</xdr:row>
      <xdr:rowOff>171450</xdr:rowOff>
    </xdr:to>
    <xdr:sp macro="" textlink="">
      <xdr:nvSpPr>
        <xdr:cNvPr id="7" name="Bevel 6">
          <a:hlinkClick xmlns:r="http://schemas.openxmlformats.org/officeDocument/2006/relationships" r:id="rId1"/>
        </xdr:cNvPr>
        <xdr:cNvSpPr/>
      </xdr:nvSpPr>
      <xdr:spPr>
        <a:xfrm>
          <a:off x="11227346101" y="1952625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دليل الحسابات</a:t>
          </a:r>
        </a:p>
      </xdr:txBody>
    </xdr:sp>
    <xdr:clientData/>
  </xdr:twoCellAnchor>
  <xdr:twoCellAnchor>
    <xdr:from>
      <xdr:col>14</xdr:col>
      <xdr:colOff>361949</xdr:colOff>
      <xdr:row>10</xdr:row>
      <xdr:rowOff>104775</xdr:rowOff>
    </xdr:from>
    <xdr:to>
      <xdr:col>19</xdr:col>
      <xdr:colOff>285750</xdr:colOff>
      <xdr:row>17</xdr:row>
      <xdr:rowOff>38100</xdr:rowOff>
    </xdr:to>
    <xdr:sp macro="" textlink="">
      <xdr:nvSpPr>
        <xdr:cNvPr id="8" name="Rounded Rectangle 7"/>
        <xdr:cNvSpPr/>
      </xdr:nvSpPr>
      <xdr:spPr>
        <a:xfrm>
          <a:off x="11222526450" y="2447925"/>
          <a:ext cx="3352801" cy="1200150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effectLst>
          <a:reflection blurRad="6350" stA="50000" endA="300" endPos="90000" dist="50800" dir="5400000" sy="-100000" algn="bl" rotWithShape="0"/>
        </a:effectLst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ysClr val="windowText" lastClr="000000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برنامج حسابات الشركات</a:t>
          </a:r>
        </a:p>
      </xdr:txBody>
    </xdr:sp>
    <xdr:clientData/>
  </xdr:twoCellAnchor>
  <xdr:twoCellAnchor>
    <xdr:from>
      <xdr:col>1</xdr:col>
      <xdr:colOff>47624</xdr:colOff>
      <xdr:row>23</xdr:row>
      <xdr:rowOff>57150</xdr:rowOff>
    </xdr:from>
    <xdr:to>
      <xdr:col>3</xdr:col>
      <xdr:colOff>257174</xdr:colOff>
      <xdr:row>27</xdr:row>
      <xdr:rowOff>76200</xdr:rowOff>
    </xdr:to>
    <xdr:sp macro="" textlink="">
      <xdr:nvSpPr>
        <xdr:cNvPr id="11" name="Bevel 10"/>
        <xdr:cNvSpPr/>
      </xdr:nvSpPr>
      <xdr:spPr>
        <a:xfrm>
          <a:off x="11234518426" y="4752975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ايرادات الشركة</a:t>
          </a:r>
        </a:p>
      </xdr:txBody>
    </xdr:sp>
    <xdr:clientData/>
  </xdr:twoCellAnchor>
  <xdr:twoCellAnchor>
    <xdr:from>
      <xdr:col>11</xdr:col>
      <xdr:colOff>342899</xdr:colOff>
      <xdr:row>22</xdr:row>
      <xdr:rowOff>123825</xdr:rowOff>
    </xdr:from>
    <xdr:to>
      <xdr:col>13</xdr:col>
      <xdr:colOff>552449</xdr:colOff>
      <xdr:row>26</xdr:row>
      <xdr:rowOff>142875</xdr:rowOff>
    </xdr:to>
    <xdr:sp macro="" textlink="">
      <xdr:nvSpPr>
        <xdr:cNvPr id="12" name="Bevel 11"/>
        <xdr:cNvSpPr/>
      </xdr:nvSpPr>
      <xdr:spPr>
        <a:xfrm>
          <a:off x="11227365151" y="4638675"/>
          <a:ext cx="1581150" cy="742950"/>
        </a:xfrm>
        <a:prstGeom prst="bevel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0070C0"/>
          </a:solidFill>
        </a:ln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1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solidFill>
                <a:sysClr val="windowText" lastClr="000000"/>
              </a:solid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المخازن</a:t>
          </a:r>
        </a:p>
      </xdr:txBody>
    </xdr:sp>
    <xdr:clientData/>
  </xdr:twoCellAnchor>
  <xdr:twoCellAnchor>
    <xdr:from>
      <xdr:col>4</xdr:col>
      <xdr:colOff>542925</xdr:colOff>
      <xdr:row>9</xdr:row>
      <xdr:rowOff>95250</xdr:rowOff>
    </xdr:from>
    <xdr:to>
      <xdr:col>6</xdr:col>
      <xdr:colOff>238125</xdr:colOff>
      <xdr:row>12</xdr:row>
      <xdr:rowOff>0</xdr:rowOff>
    </xdr:to>
    <xdr:sp macro="" textlink="">
      <xdr:nvSpPr>
        <xdr:cNvPr id="13" name="Rounded Rectangle 12">
          <a:hlinkClick xmlns:r="http://schemas.openxmlformats.org/officeDocument/2006/relationships" r:id="rId2"/>
        </xdr:cNvPr>
        <xdr:cNvSpPr/>
      </xdr:nvSpPr>
      <xdr:spPr>
        <a:xfrm>
          <a:off x="11232480075" y="2257425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100" b="1">
              <a:solidFill>
                <a:sysClr val="windowText" lastClr="000000"/>
              </a:solidFill>
            </a:rPr>
            <a:t>ارصده</a:t>
          </a:r>
          <a:r>
            <a:rPr lang="ar-EG" sz="1100" b="1" baseline="0">
              <a:solidFill>
                <a:sysClr val="windowText" lastClr="000000"/>
              </a:solidFill>
            </a:rPr>
            <a:t> افتتاحية</a:t>
          </a:r>
          <a:endParaRPr lang="ar-EG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447675</xdr:colOff>
      <xdr:row>9</xdr:row>
      <xdr:rowOff>95250</xdr:rowOff>
    </xdr:from>
    <xdr:to>
      <xdr:col>8</xdr:col>
      <xdr:colOff>142875</xdr:colOff>
      <xdr:row>12</xdr:row>
      <xdr:rowOff>0</xdr:rowOff>
    </xdr:to>
    <xdr:sp macro="" textlink="">
      <xdr:nvSpPr>
        <xdr:cNvPr id="14" name="Rounded Rectangle 13">
          <a:hlinkClick xmlns:r="http://schemas.openxmlformats.org/officeDocument/2006/relationships" r:id="rId3"/>
        </xdr:cNvPr>
        <xdr:cNvSpPr/>
      </xdr:nvSpPr>
      <xdr:spPr>
        <a:xfrm>
          <a:off x="11231203725" y="2257425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يناير</a:t>
          </a:r>
        </a:p>
      </xdr:txBody>
    </xdr:sp>
    <xdr:clientData/>
  </xdr:twoCellAnchor>
  <xdr:twoCellAnchor>
    <xdr:from>
      <xdr:col>8</xdr:col>
      <xdr:colOff>400050</xdr:colOff>
      <xdr:row>9</xdr:row>
      <xdr:rowOff>95250</xdr:rowOff>
    </xdr:from>
    <xdr:to>
      <xdr:col>10</xdr:col>
      <xdr:colOff>95250</xdr:colOff>
      <xdr:row>12</xdr:row>
      <xdr:rowOff>0</xdr:rowOff>
    </xdr:to>
    <xdr:sp macro="" textlink="">
      <xdr:nvSpPr>
        <xdr:cNvPr id="15" name="Rounded Rectangle 14">
          <a:hlinkClick xmlns:r="http://schemas.openxmlformats.org/officeDocument/2006/relationships" r:id="rId4"/>
        </xdr:cNvPr>
        <xdr:cNvSpPr/>
      </xdr:nvSpPr>
      <xdr:spPr>
        <a:xfrm>
          <a:off x="11229879750" y="2257425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فبراير</a:t>
          </a:r>
        </a:p>
      </xdr:txBody>
    </xdr:sp>
    <xdr:clientData/>
  </xdr:twoCellAnchor>
  <xdr:twoCellAnchor>
    <xdr:from>
      <xdr:col>4</xdr:col>
      <xdr:colOff>542925</xdr:colOff>
      <xdr:row>13</xdr:row>
      <xdr:rowOff>9525</xdr:rowOff>
    </xdr:from>
    <xdr:to>
      <xdr:col>6</xdr:col>
      <xdr:colOff>238125</xdr:colOff>
      <xdr:row>15</xdr:row>
      <xdr:rowOff>95250</xdr:rowOff>
    </xdr:to>
    <xdr:sp macro="" textlink="">
      <xdr:nvSpPr>
        <xdr:cNvPr id="16" name="Rounded Rectangle 15">
          <a:hlinkClick xmlns:r="http://schemas.openxmlformats.org/officeDocument/2006/relationships" r:id="rId5"/>
        </xdr:cNvPr>
        <xdr:cNvSpPr/>
      </xdr:nvSpPr>
      <xdr:spPr>
        <a:xfrm>
          <a:off x="11232480075" y="289560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مارس</a:t>
          </a:r>
        </a:p>
      </xdr:txBody>
    </xdr:sp>
    <xdr:clientData/>
  </xdr:twoCellAnchor>
  <xdr:twoCellAnchor>
    <xdr:from>
      <xdr:col>6</xdr:col>
      <xdr:colOff>447675</xdr:colOff>
      <xdr:row>13</xdr:row>
      <xdr:rowOff>28575</xdr:rowOff>
    </xdr:from>
    <xdr:to>
      <xdr:col>8</xdr:col>
      <xdr:colOff>142875</xdr:colOff>
      <xdr:row>15</xdr:row>
      <xdr:rowOff>114300</xdr:rowOff>
    </xdr:to>
    <xdr:sp macro="" textlink="">
      <xdr:nvSpPr>
        <xdr:cNvPr id="17" name="Rounded Rectangle 16">
          <a:hlinkClick xmlns:r="http://schemas.openxmlformats.org/officeDocument/2006/relationships" r:id="rId6"/>
        </xdr:cNvPr>
        <xdr:cNvSpPr/>
      </xdr:nvSpPr>
      <xdr:spPr>
        <a:xfrm>
          <a:off x="11231203725" y="291465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ابريل</a:t>
          </a:r>
        </a:p>
      </xdr:txBody>
    </xdr:sp>
    <xdr:clientData/>
  </xdr:twoCellAnchor>
  <xdr:twoCellAnchor>
    <xdr:from>
      <xdr:col>8</xdr:col>
      <xdr:colOff>400050</xdr:colOff>
      <xdr:row>13</xdr:row>
      <xdr:rowOff>57150</xdr:rowOff>
    </xdr:from>
    <xdr:to>
      <xdr:col>10</xdr:col>
      <xdr:colOff>95250</xdr:colOff>
      <xdr:row>15</xdr:row>
      <xdr:rowOff>142875</xdr:rowOff>
    </xdr:to>
    <xdr:sp macro="" textlink="">
      <xdr:nvSpPr>
        <xdr:cNvPr id="18" name="Rounded Rectangle 17">
          <a:hlinkClick xmlns:r="http://schemas.openxmlformats.org/officeDocument/2006/relationships" r:id="rId7"/>
        </xdr:cNvPr>
        <xdr:cNvSpPr/>
      </xdr:nvSpPr>
      <xdr:spPr>
        <a:xfrm>
          <a:off x="11229879750" y="2943225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مايو</a:t>
          </a:r>
        </a:p>
      </xdr:txBody>
    </xdr:sp>
    <xdr:clientData/>
  </xdr:twoCellAnchor>
  <xdr:twoCellAnchor>
    <xdr:from>
      <xdr:col>4</xdr:col>
      <xdr:colOff>542925</xdr:colOff>
      <xdr:row>16</xdr:row>
      <xdr:rowOff>133350</xdr:rowOff>
    </xdr:from>
    <xdr:to>
      <xdr:col>6</xdr:col>
      <xdr:colOff>238125</xdr:colOff>
      <xdr:row>19</xdr:row>
      <xdr:rowOff>38100</xdr:rowOff>
    </xdr:to>
    <xdr:sp macro="" textlink="">
      <xdr:nvSpPr>
        <xdr:cNvPr id="19" name="Rounded Rectangle 18">
          <a:hlinkClick xmlns:r="http://schemas.openxmlformats.org/officeDocument/2006/relationships" r:id="rId8"/>
        </xdr:cNvPr>
        <xdr:cNvSpPr/>
      </xdr:nvSpPr>
      <xdr:spPr>
        <a:xfrm>
          <a:off x="11232480075" y="356235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يونيو</a:t>
          </a:r>
        </a:p>
      </xdr:txBody>
    </xdr:sp>
    <xdr:clientData/>
  </xdr:twoCellAnchor>
  <xdr:twoCellAnchor>
    <xdr:from>
      <xdr:col>4</xdr:col>
      <xdr:colOff>485775</xdr:colOff>
      <xdr:row>20</xdr:row>
      <xdr:rowOff>38100</xdr:rowOff>
    </xdr:from>
    <xdr:to>
      <xdr:col>6</xdr:col>
      <xdr:colOff>180975</xdr:colOff>
      <xdr:row>22</xdr:row>
      <xdr:rowOff>123825</xdr:rowOff>
    </xdr:to>
    <xdr:sp macro="" textlink="">
      <xdr:nvSpPr>
        <xdr:cNvPr id="20" name="Rounded Rectangle 19">
          <a:hlinkClick xmlns:r="http://schemas.openxmlformats.org/officeDocument/2006/relationships" r:id="rId9"/>
        </xdr:cNvPr>
        <xdr:cNvSpPr/>
      </xdr:nvSpPr>
      <xdr:spPr>
        <a:xfrm>
          <a:off x="11232537225" y="419100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سبتمبر</a:t>
          </a:r>
        </a:p>
      </xdr:txBody>
    </xdr:sp>
    <xdr:clientData/>
  </xdr:twoCellAnchor>
  <xdr:twoCellAnchor>
    <xdr:from>
      <xdr:col>6</xdr:col>
      <xdr:colOff>390525</xdr:colOff>
      <xdr:row>20</xdr:row>
      <xdr:rowOff>38100</xdr:rowOff>
    </xdr:from>
    <xdr:to>
      <xdr:col>8</xdr:col>
      <xdr:colOff>85725</xdr:colOff>
      <xdr:row>22</xdr:row>
      <xdr:rowOff>123825</xdr:rowOff>
    </xdr:to>
    <xdr:sp macro="" textlink="">
      <xdr:nvSpPr>
        <xdr:cNvPr id="21" name="Rounded Rectangle 20">
          <a:hlinkClick xmlns:r="http://schemas.openxmlformats.org/officeDocument/2006/relationships" r:id="rId10"/>
        </xdr:cNvPr>
        <xdr:cNvSpPr/>
      </xdr:nvSpPr>
      <xdr:spPr>
        <a:xfrm>
          <a:off x="11231260875" y="419100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اكتوبر</a:t>
          </a:r>
        </a:p>
      </xdr:txBody>
    </xdr:sp>
    <xdr:clientData/>
  </xdr:twoCellAnchor>
  <xdr:twoCellAnchor>
    <xdr:from>
      <xdr:col>8</xdr:col>
      <xdr:colOff>342900</xdr:colOff>
      <xdr:row>20</xdr:row>
      <xdr:rowOff>47625</xdr:rowOff>
    </xdr:from>
    <xdr:to>
      <xdr:col>10</xdr:col>
      <xdr:colOff>38100</xdr:colOff>
      <xdr:row>22</xdr:row>
      <xdr:rowOff>133350</xdr:rowOff>
    </xdr:to>
    <xdr:sp macro="" textlink="">
      <xdr:nvSpPr>
        <xdr:cNvPr id="22" name="Rounded Rectangle 21">
          <a:hlinkClick xmlns:r="http://schemas.openxmlformats.org/officeDocument/2006/relationships" r:id="rId11"/>
        </xdr:cNvPr>
        <xdr:cNvSpPr/>
      </xdr:nvSpPr>
      <xdr:spPr>
        <a:xfrm>
          <a:off x="11229936900" y="4200525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نوفمبر</a:t>
          </a:r>
        </a:p>
      </xdr:txBody>
    </xdr:sp>
    <xdr:clientData/>
  </xdr:twoCellAnchor>
  <xdr:twoCellAnchor>
    <xdr:from>
      <xdr:col>8</xdr:col>
      <xdr:colOff>361950</xdr:colOff>
      <xdr:row>16</xdr:row>
      <xdr:rowOff>123825</xdr:rowOff>
    </xdr:from>
    <xdr:to>
      <xdr:col>10</xdr:col>
      <xdr:colOff>57150</xdr:colOff>
      <xdr:row>19</xdr:row>
      <xdr:rowOff>28575</xdr:rowOff>
    </xdr:to>
    <xdr:sp macro="" textlink="">
      <xdr:nvSpPr>
        <xdr:cNvPr id="23" name="Rounded Rectangle 22">
          <a:hlinkClick xmlns:r="http://schemas.openxmlformats.org/officeDocument/2006/relationships" r:id="rId12"/>
        </xdr:cNvPr>
        <xdr:cNvSpPr/>
      </xdr:nvSpPr>
      <xdr:spPr>
        <a:xfrm>
          <a:off x="11229917850" y="3552825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اغسطس</a:t>
          </a:r>
        </a:p>
      </xdr:txBody>
    </xdr:sp>
    <xdr:clientData/>
  </xdr:twoCellAnchor>
  <xdr:twoCellAnchor>
    <xdr:from>
      <xdr:col>4</xdr:col>
      <xdr:colOff>514350</xdr:colOff>
      <xdr:row>23</xdr:row>
      <xdr:rowOff>66675</xdr:rowOff>
    </xdr:from>
    <xdr:to>
      <xdr:col>6</xdr:col>
      <xdr:colOff>209550</xdr:colOff>
      <xdr:row>25</xdr:row>
      <xdr:rowOff>152400</xdr:rowOff>
    </xdr:to>
    <xdr:sp macro="" textlink="">
      <xdr:nvSpPr>
        <xdr:cNvPr id="24" name="Rounded Rectangle 23">
          <a:hlinkClick xmlns:r="http://schemas.openxmlformats.org/officeDocument/2006/relationships" r:id="rId13"/>
        </xdr:cNvPr>
        <xdr:cNvSpPr/>
      </xdr:nvSpPr>
      <xdr:spPr>
        <a:xfrm>
          <a:off x="11232508650" y="476250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ديسمبر</a:t>
          </a:r>
        </a:p>
      </xdr:txBody>
    </xdr:sp>
    <xdr:clientData/>
  </xdr:twoCellAnchor>
  <xdr:twoCellAnchor>
    <xdr:from>
      <xdr:col>6</xdr:col>
      <xdr:colOff>409575</xdr:colOff>
      <xdr:row>16</xdr:row>
      <xdr:rowOff>133350</xdr:rowOff>
    </xdr:from>
    <xdr:to>
      <xdr:col>8</xdr:col>
      <xdr:colOff>104775</xdr:colOff>
      <xdr:row>19</xdr:row>
      <xdr:rowOff>38100</xdr:rowOff>
    </xdr:to>
    <xdr:sp macro="" textlink="">
      <xdr:nvSpPr>
        <xdr:cNvPr id="32" name="Rounded Rectangle 31">
          <a:hlinkClick xmlns:r="http://schemas.openxmlformats.org/officeDocument/2006/relationships" r:id="rId14"/>
        </xdr:cNvPr>
        <xdr:cNvSpPr/>
      </xdr:nvSpPr>
      <xdr:spPr>
        <a:xfrm>
          <a:off x="11231241825" y="3562350"/>
          <a:ext cx="1066800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يوليو</a:t>
          </a:r>
        </a:p>
      </xdr:txBody>
    </xdr:sp>
    <xdr:clientData/>
  </xdr:twoCellAnchor>
  <xdr:twoCellAnchor>
    <xdr:from>
      <xdr:col>6</xdr:col>
      <xdr:colOff>371476</xdr:colOff>
      <xdr:row>23</xdr:row>
      <xdr:rowOff>47625</xdr:rowOff>
    </xdr:from>
    <xdr:to>
      <xdr:col>9</xdr:col>
      <xdr:colOff>647701</xdr:colOff>
      <xdr:row>25</xdr:row>
      <xdr:rowOff>133350</xdr:rowOff>
    </xdr:to>
    <xdr:sp macro="" textlink="">
      <xdr:nvSpPr>
        <xdr:cNvPr id="33" name="Rounded Rectangle 32">
          <a:hlinkClick xmlns:r="http://schemas.openxmlformats.org/officeDocument/2006/relationships" r:id="rId15"/>
        </xdr:cNvPr>
        <xdr:cNvSpPr/>
      </xdr:nvSpPr>
      <xdr:spPr>
        <a:xfrm>
          <a:off x="11230013099" y="4743450"/>
          <a:ext cx="2333625" cy="44767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/>
        <a:scene3d>
          <a:camera prst="orthographicFront"/>
          <a:lightRig rig="threePt" dir="t"/>
        </a:scene3d>
        <a:sp3d>
          <a:bevelT prst="slop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1400" b="1">
              <a:solidFill>
                <a:sysClr val="windowText" lastClr="000000"/>
              </a:solidFill>
            </a:rPr>
            <a:t>تسويات</a:t>
          </a:r>
        </a:p>
      </xdr:txBody>
    </xdr:sp>
    <xdr:clientData/>
  </xdr:twoCellAnchor>
  <xdr:twoCellAnchor>
    <xdr:from>
      <xdr:col>3</xdr:col>
      <xdr:colOff>314325</xdr:colOff>
      <xdr:row>9</xdr:row>
      <xdr:rowOff>38100</xdr:rowOff>
    </xdr:from>
    <xdr:to>
      <xdr:col>4</xdr:col>
      <xdr:colOff>257175</xdr:colOff>
      <xdr:row>10</xdr:row>
      <xdr:rowOff>133350</xdr:rowOff>
    </xdr:to>
    <xdr:sp macro="" textlink="">
      <xdr:nvSpPr>
        <xdr:cNvPr id="42" name="Left Arrow 41"/>
        <xdr:cNvSpPr/>
      </xdr:nvSpPr>
      <xdr:spPr>
        <a:xfrm>
          <a:off x="11233832625" y="2200275"/>
          <a:ext cx="628650" cy="276225"/>
        </a:xfrm>
        <a:prstGeom prst="lef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 rtl="1"/>
          <a:endParaRPr lang="ar-EG" sz="1100"/>
        </a:p>
      </xdr:txBody>
    </xdr:sp>
    <xdr:clientData/>
  </xdr:twoCellAnchor>
  <xdr:twoCellAnchor editAs="oneCell">
    <xdr:from>
      <xdr:col>3</xdr:col>
      <xdr:colOff>142875</xdr:colOff>
      <xdr:row>0</xdr:row>
      <xdr:rowOff>28575</xdr:rowOff>
    </xdr:from>
    <xdr:to>
      <xdr:col>11</xdr:col>
      <xdr:colOff>628650</xdr:colOff>
      <xdr:row>7</xdr:row>
      <xdr:rowOff>95250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7546125" y="28575"/>
          <a:ext cx="5972175" cy="18669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8</xdr:row>
      <xdr:rowOff>19049</xdr:rowOff>
    </xdr:from>
    <xdr:to>
      <xdr:col>5</xdr:col>
      <xdr:colOff>66675</xdr:colOff>
      <xdr:row>12</xdr:row>
      <xdr:rowOff>38100</xdr:rowOff>
    </xdr:to>
    <xdr:sp macro="" textlink="">
      <xdr:nvSpPr>
        <xdr:cNvPr id="3" name="Rectangle 2"/>
        <xdr:cNvSpPr/>
      </xdr:nvSpPr>
      <xdr:spPr>
        <a:xfrm>
          <a:off x="11232651525" y="2000249"/>
          <a:ext cx="3857625" cy="742951"/>
        </a:xfrm>
        <a:prstGeom prst="rect">
          <a:avLst/>
        </a:prstGeom>
        <a:ln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دليل الحسابات</a:t>
          </a:r>
        </a:p>
      </xdr:txBody>
    </xdr:sp>
    <xdr:clientData/>
  </xdr:twoCellAnchor>
  <xdr:twoCellAnchor>
    <xdr:from>
      <xdr:col>7</xdr:col>
      <xdr:colOff>133350</xdr:colOff>
      <xdr:row>15</xdr:row>
      <xdr:rowOff>180976</xdr:rowOff>
    </xdr:from>
    <xdr:to>
      <xdr:col>11</xdr:col>
      <xdr:colOff>133350</xdr:colOff>
      <xdr:row>20</xdr:row>
      <xdr:rowOff>123826</xdr:rowOff>
    </xdr:to>
    <xdr:sp macro="" textlink="">
      <xdr:nvSpPr>
        <xdr:cNvPr id="4" name="Left Arrow 3">
          <a:hlinkClick xmlns:r="http://schemas.openxmlformats.org/officeDocument/2006/relationships" r:id="rId1"/>
        </xdr:cNvPr>
        <xdr:cNvSpPr/>
      </xdr:nvSpPr>
      <xdr:spPr>
        <a:xfrm>
          <a:off x="11228470050" y="2476501"/>
          <a:ext cx="2743200" cy="1085850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3</xdr:col>
      <xdr:colOff>228600</xdr:colOff>
      <xdr:row>11</xdr:row>
      <xdr:rowOff>152400</xdr:rowOff>
    </xdr:from>
    <xdr:to>
      <xdr:col>8</xdr:col>
      <xdr:colOff>295274</xdr:colOff>
      <xdr:row>21</xdr:row>
      <xdr:rowOff>180975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365526" y="2676525"/>
          <a:ext cx="4619624" cy="220027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657225</xdr:colOff>
      <xdr:row>7</xdr:row>
      <xdr:rowOff>66675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375175" y="0"/>
          <a:ext cx="6124575" cy="18669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3983775" y="723900"/>
          <a:ext cx="7562850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4" name="Left Arrow 3">
          <a:hlinkClick xmlns:r="http://schemas.openxmlformats.org/officeDocument/2006/relationships" r:id="rId1"/>
        </xdr:cNvPr>
        <xdr:cNvSpPr/>
      </xdr:nvSpPr>
      <xdr:spPr>
        <a:xfrm>
          <a:off x="11227022250" y="0"/>
          <a:ext cx="2743200" cy="90487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6427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27575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</xdr:row>
      <xdr:rowOff>209550</xdr:rowOff>
    </xdr:from>
    <xdr:to>
      <xdr:col>17</xdr:col>
      <xdr:colOff>514350</xdr:colOff>
      <xdr:row>6</xdr:row>
      <xdr:rowOff>133350</xdr:rowOff>
    </xdr:to>
    <xdr:sp macro="" textlink="">
      <xdr:nvSpPr>
        <xdr:cNvPr id="2" name="Rectangle 1"/>
        <xdr:cNvSpPr/>
      </xdr:nvSpPr>
      <xdr:spPr>
        <a:xfrm>
          <a:off x="11224002825" y="723900"/>
          <a:ext cx="75914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اليومية</a:t>
          </a:r>
          <a:r>
            <a:rPr lang="ar-EG" sz="36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 (الامريكية)</a:t>
          </a:r>
          <a:endParaRPr lang="ar-EG" sz="3600" b="1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accent5">
                  <a:lumMod val="60000"/>
                  <a:lumOff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209550</xdr:colOff>
      <xdr:row>0</xdr:row>
      <xdr:rowOff>0</xdr:rowOff>
    </xdr:from>
    <xdr:to>
      <xdr:col>13</xdr:col>
      <xdr:colOff>209550</xdr:colOff>
      <xdr:row>3</xdr:row>
      <xdr:rowOff>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11227098450" y="0"/>
          <a:ext cx="281940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16</xdr:col>
      <xdr:colOff>200024</xdr:colOff>
      <xdr:row>0</xdr:row>
      <xdr:rowOff>0</xdr:rowOff>
    </xdr:from>
    <xdr:to>
      <xdr:col>23</xdr:col>
      <xdr:colOff>9523</xdr:colOff>
      <xdr:row>7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0383327" y="0"/>
          <a:ext cx="4619624" cy="16097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6</xdr:col>
      <xdr:colOff>647700</xdr:colOff>
      <xdr:row>6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575200" y="9525"/>
          <a:ext cx="4438650" cy="14763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657225</xdr:colOff>
      <xdr:row>4</xdr:row>
      <xdr:rowOff>38100</xdr:rowOff>
    </xdr:from>
    <xdr:to>
      <xdr:col>14</xdr:col>
      <xdr:colOff>95250</xdr:colOff>
      <xdr:row>8</xdr:row>
      <xdr:rowOff>38100</xdr:rowOff>
    </xdr:to>
    <xdr:sp macro="" textlink="">
      <xdr:nvSpPr>
        <xdr:cNvPr id="2" name="Rectangle 1"/>
        <xdr:cNvSpPr/>
      </xdr:nvSpPr>
      <xdr:spPr>
        <a:xfrm>
          <a:off x="11227746150" y="990600"/>
          <a:ext cx="6219825" cy="72390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3600" b="1" cap="none" spc="0">
              <a:ln w="9525">
                <a:solidFill>
                  <a:schemeClr val="bg1"/>
                </a:solidFill>
                <a:prstDash val="solid"/>
              </a:ln>
              <a:solidFill>
                <a:sysClr val="windowText" lastClr="000000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دفتر الاستاذ العام</a:t>
          </a:r>
        </a:p>
      </xdr:txBody>
    </xdr:sp>
    <xdr:clientData/>
  </xdr:twoCellAnchor>
  <xdr:twoCellAnchor>
    <xdr:from>
      <xdr:col>8</xdr:col>
      <xdr:colOff>38100</xdr:colOff>
      <xdr:row>0</xdr:row>
      <xdr:rowOff>0</xdr:rowOff>
    </xdr:from>
    <xdr:to>
      <xdr:col>11</xdr:col>
      <xdr:colOff>419100</xdr:colOff>
      <xdr:row>3</xdr:row>
      <xdr:rowOff>0</xdr:rowOff>
    </xdr:to>
    <xdr:sp macro="" textlink="">
      <xdr:nvSpPr>
        <xdr:cNvPr id="3" name="Left Arrow 2"/>
        <xdr:cNvSpPr/>
      </xdr:nvSpPr>
      <xdr:spPr>
        <a:xfrm>
          <a:off x="11229536850" y="0"/>
          <a:ext cx="2495550" cy="771525"/>
        </a:xfrm>
        <a:prstGeom prst="lef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EG" sz="2400" b="1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ysClr val="windowText" lastClr="000000"/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الصفحه الرئيسيه</a:t>
          </a:r>
        </a:p>
      </xdr:txBody>
    </xdr:sp>
    <xdr:clientData/>
  </xdr:twoCellAnchor>
  <xdr:twoCellAnchor editAs="oneCell">
    <xdr:from>
      <xdr:col>13</xdr:col>
      <xdr:colOff>190499</xdr:colOff>
      <xdr:row>0</xdr:row>
      <xdr:rowOff>28575</xdr:rowOff>
    </xdr:from>
    <xdr:to>
      <xdr:col>19</xdr:col>
      <xdr:colOff>47623</xdr:colOff>
      <xdr:row>9</xdr:row>
      <xdr:rowOff>200025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3736127" y="28575"/>
          <a:ext cx="4619624" cy="2028825"/>
        </a:xfrm>
        <a:prstGeom prst="rect">
          <a:avLst/>
        </a:prstGeom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419100</xdr:colOff>
      <xdr:row>8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4099325" y="0"/>
          <a:ext cx="5362575" cy="17049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8</xdr:row>
      <xdr:rowOff>66675</xdr:rowOff>
    </xdr:from>
    <xdr:to>
      <xdr:col>13</xdr:col>
      <xdr:colOff>257174</xdr:colOff>
      <xdr:row>17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974626" y="1638300"/>
          <a:ext cx="4619624" cy="2028825"/>
        </a:xfrm>
        <a:prstGeom prst="rect">
          <a:avLst/>
        </a:prstGeom>
        <a:effectLst/>
      </xdr:spPr>
    </xdr:pic>
    <xdr:clientData/>
  </xdr:twoCellAnchor>
  <xdr:twoCellAnchor editAs="oneCell">
    <xdr:from>
      <xdr:col>4</xdr:col>
      <xdr:colOff>133350</xdr:colOff>
      <xdr:row>0</xdr:row>
      <xdr:rowOff>28576</xdr:rowOff>
    </xdr:from>
    <xdr:to>
      <xdr:col>8</xdr:col>
      <xdr:colOff>619125</xdr:colOff>
      <xdr:row>7</xdr:row>
      <xdr:rowOff>104776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289325" y="28576"/>
          <a:ext cx="5362575" cy="1466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10</xdr:col>
      <xdr:colOff>523875</xdr:colOff>
      <xdr:row>4</xdr:row>
      <xdr:rowOff>38100</xdr:rowOff>
    </xdr:from>
    <xdr:to>
      <xdr:col>15</xdr:col>
      <xdr:colOff>381000</xdr:colOff>
      <xdr:row>9</xdr:row>
      <xdr:rowOff>133350</xdr:rowOff>
    </xdr:to>
    <xdr:sp macro="" textlink="">
      <xdr:nvSpPr>
        <xdr:cNvPr id="6" name="Rounded Rectangle 5"/>
        <xdr:cNvSpPr/>
      </xdr:nvSpPr>
      <xdr:spPr>
        <a:xfrm>
          <a:off x="11225479200" y="990600"/>
          <a:ext cx="3286125" cy="9429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2800" b="1">
              <a:solidFill>
                <a:sysClr val="windowText" lastClr="000000"/>
              </a:solidFill>
            </a:rPr>
            <a:t>ميزان المراجعه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0</xdr:row>
      <xdr:rowOff>0</xdr:rowOff>
    </xdr:from>
    <xdr:to>
      <xdr:col>12</xdr:col>
      <xdr:colOff>47625</xdr:colOff>
      <xdr:row>7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070000" y="0"/>
          <a:ext cx="5362575" cy="1466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13</xdr:col>
      <xdr:colOff>838200</xdr:colOff>
      <xdr:row>1</xdr:row>
      <xdr:rowOff>47625</xdr:rowOff>
    </xdr:from>
    <xdr:to>
      <xdr:col>18</xdr:col>
      <xdr:colOff>762000</xdr:colOff>
      <xdr:row>5</xdr:row>
      <xdr:rowOff>114300</xdr:rowOff>
    </xdr:to>
    <xdr:sp macro="" textlink="">
      <xdr:nvSpPr>
        <xdr:cNvPr id="3" name="Rounded Rectangle 2"/>
        <xdr:cNvSpPr/>
      </xdr:nvSpPr>
      <xdr:spPr>
        <a:xfrm>
          <a:off x="11223212250" y="304800"/>
          <a:ext cx="3295650" cy="9429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2800" b="1">
              <a:solidFill>
                <a:sysClr val="windowText" lastClr="000000"/>
              </a:solidFill>
            </a:rPr>
            <a:t>تحليل</a:t>
          </a:r>
          <a:r>
            <a:rPr lang="ar-EG" sz="2800" b="1" baseline="0">
              <a:solidFill>
                <a:sysClr val="windowText" lastClr="000000"/>
              </a:solidFill>
            </a:rPr>
            <a:t> العملاء</a:t>
          </a:r>
          <a:endParaRPr lang="ar-EG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76201</xdr:rowOff>
    </xdr:from>
    <xdr:to>
      <xdr:col>11</xdr:col>
      <xdr:colOff>304800</xdr:colOff>
      <xdr:row>7</xdr:row>
      <xdr:rowOff>152401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8108100" y="76201"/>
          <a:ext cx="5362575" cy="1466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15</xdr:col>
      <xdr:colOff>381000</xdr:colOff>
      <xdr:row>1</xdr:row>
      <xdr:rowOff>57150</xdr:rowOff>
    </xdr:from>
    <xdr:to>
      <xdr:col>19</xdr:col>
      <xdr:colOff>381000</xdr:colOff>
      <xdr:row>5</xdr:row>
      <xdr:rowOff>123825</xdr:rowOff>
    </xdr:to>
    <xdr:sp macro="" textlink="">
      <xdr:nvSpPr>
        <xdr:cNvPr id="3" name="Rounded Rectangle 2"/>
        <xdr:cNvSpPr/>
      </xdr:nvSpPr>
      <xdr:spPr>
        <a:xfrm>
          <a:off x="11222021625" y="314325"/>
          <a:ext cx="3295650" cy="9429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2800" b="1">
              <a:solidFill>
                <a:sysClr val="windowText" lastClr="000000"/>
              </a:solidFill>
            </a:rPr>
            <a:t>ميزان المراجعه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76201</xdr:rowOff>
    </xdr:from>
    <xdr:to>
      <xdr:col>9</xdr:col>
      <xdr:colOff>1076325</xdr:colOff>
      <xdr:row>7</xdr:row>
      <xdr:rowOff>152401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060725" y="76201"/>
          <a:ext cx="5362575" cy="1466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11</xdr:col>
      <xdr:colOff>895350</xdr:colOff>
      <xdr:row>0</xdr:row>
      <xdr:rowOff>247650</xdr:rowOff>
    </xdr:from>
    <xdr:to>
      <xdr:col>16</xdr:col>
      <xdr:colOff>142875</xdr:colOff>
      <xdr:row>5</xdr:row>
      <xdr:rowOff>57150</xdr:rowOff>
    </xdr:to>
    <xdr:sp macro="" textlink="">
      <xdr:nvSpPr>
        <xdr:cNvPr id="3" name="Rounded Rectangle 2"/>
        <xdr:cNvSpPr/>
      </xdr:nvSpPr>
      <xdr:spPr>
        <a:xfrm>
          <a:off x="11225079150" y="247650"/>
          <a:ext cx="3505200" cy="9429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2800" b="1">
              <a:solidFill>
                <a:sysClr val="windowText" lastClr="000000"/>
              </a:solidFill>
            </a:rPr>
            <a:t>مصروفات الشركة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76201</xdr:rowOff>
    </xdr:from>
    <xdr:to>
      <xdr:col>9</xdr:col>
      <xdr:colOff>1076325</xdr:colOff>
      <xdr:row>7</xdr:row>
      <xdr:rowOff>152401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108475" y="76201"/>
          <a:ext cx="5362575" cy="1466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10</xdr:col>
      <xdr:colOff>895350</xdr:colOff>
      <xdr:row>0</xdr:row>
      <xdr:rowOff>247650</xdr:rowOff>
    </xdr:from>
    <xdr:to>
      <xdr:col>14</xdr:col>
      <xdr:colOff>142875</xdr:colOff>
      <xdr:row>5</xdr:row>
      <xdr:rowOff>57150</xdr:rowOff>
    </xdr:to>
    <xdr:sp macro="" textlink="">
      <xdr:nvSpPr>
        <xdr:cNvPr id="3" name="Rounded Rectangle 2"/>
        <xdr:cNvSpPr/>
      </xdr:nvSpPr>
      <xdr:spPr>
        <a:xfrm>
          <a:off x="11225079150" y="247650"/>
          <a:ext cx="3505200" cy="9429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1">
              <a:lumMod val="50000"/>
            </a:schemeClr>
          </a:solidFill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 rtl="1"/>
          <a:r>
            <a:rPr lang="ar-EG" sz="2800" b="1">
              <a:solidFill>
                <a:sysClr val="windowText" lastClr="000000"/>
              </a:solidFill>
            </a:rPr>
            <a:t>مصروفات الشركة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0</xdr:row>
      <xdr:rowOff>76201</xdr:rowOff>
    </xdr:from>
    <xdr:to>
      <xdr:col>7</xdr:col>
      <xdr:colOff>1438275</xdr:colOff>
      <xdr:row>7</xdr:row>
      <xdr:rowOff>152401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841775" y="76201"/>
          <a:ext cx="5362575" cy="14668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9"/>
  <sheetViews>
    <sheetView rightToLeft="1" zoomScaleNormal="100" workbookViewId="0"/>
  </sheetViews>
  <sheetFormatPr defaultRowHeight="14.25" x14ac:dyDescent="0.2"/>
  <cols>
    <col min="1" max="1" width="10.625" style="15" customWidth="1"/>
    <col min="2" max="20" width="9" style="15"/>
    <col min="21" max="21" width="3.375" style="15" customWidth="1"/>
    <col min="22" max="16384" width="9" style="15"/>
  </cols>
  <sheetData>
    <row r="1" spans="2:21" ht="20.25" x14ac:dyDescent="0.2">
      <c r="B1" s="17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2:21" ht="20.25" x14ac:dyDescent="0.2">
      <c r="B2" s="17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2:21" ht="20.25" x14ac:dyDescent="0.2"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2:21" ht="20.25" x14ac:dyDescent="0.2">
      <c r="B4" s="17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2:21" ht="20.25" x14ac:dyDescent="0.2"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2:21" ht="20.25" x14ac:dyDescent="0.2"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2:21" ht="20.25" x14ac:dyDescent="0.2">
      <c r="B7" s="17"/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2:21" x14ac:dyDescent="0.2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2:21" x14ac:dyDescent="0.2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2:21" x14ac:dyDescent="0.2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2:21" x14ac:dyDescent="0.2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2:2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2:21" x14ac:dyDescent="0.2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2:21" x14ac:dyDescent="0.2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2:21" x14ac:dyDescent="0.2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2:21" x14ac:dyDescent="0.2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2:21" x14ac:dyDescent="0.2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2:21" x14ac:dyDescent="0.2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2:21" x14ac:dyDescent="0.2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2:21" x14ac:dyDescent="0.2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2:21" x14ac:dyDescent="0.2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2:21" x14ac:dyDescent="0.2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2:21" x14ac:dyDescent="0.2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2:21" x14ac:dyDescent="0.2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2:21" x14ac:dyDescent="0.2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2:21" x14ac:dyDescent="0.2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2:21" x14ac:dyDescent="0.2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2:21" x14ac:dyDescent="0.2"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2:21" x14ac:dyDescent="0.2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rightToLeft="1" workbookViewId="0">
      <selection activeCell="I24" sqref="I24"/>
    </sheetView>
  </sheetViews>
  <sheetFormatPr defaultRowHeight="14.25" x14ac:dyDescent="0.2"/>
  <cols>
    <col min="1" max="1" width="7.75" style="3" customWidth="1"/>
    <col min="2" max="2" width="14.375" style="3" customWidth="1"/>
    <col min="3" max="3" width="7.875" style="3" customWidth="1"/>
    <col min="4" max="4" width="23.75" style="3" customWidth="1"/>
    <col min="5" max="16384" width="9" style="3"/>
  </cols>
  <sheetData>
    <row r="1" spans="1:7" ht="20.25" x14ac:dyDescent="0.2">
      <c r="A1" s="2"/>
      <c r="B1" s="2"/>
      <c r="C1" s="1"/>
      <c r="D1" s="1"/>
      <c r="E1" s="1"/>
      <c r="F1" s="1"/>
      <c r="G1" s="1"/>
    </row>
    <row r="2" spans="1:7" ht="20.25" x14ac:dyDescent="0.2">
      <c r="A2" s="2"/>
      <c r="B2" s="2"/>
      <c r="C2" s="1"/>
      <c r="D2" s="1"/>
      <c r="E2" s="1"/>
      <c r="F2" s="1"/>
      <c r="G2" s="1"/>
    </row>
    <row r="3" spans="1:7" ht="20.25" x14ac:dyDescent="0.2">
      <c r="A3" s="2"/>
      <c r="B3" s="2"/>
      <c r="C3" s="1"/>
      <c r="D3" s="1"/>
      <c r="E3" s="1"/>
      <c r="F3" s="1"/>
      <c r="G3" s="1"/>
    </row>
    <row r="4" spans="1:7" ht="20.25" x14ac:dyDescent="0.2">
      <c r="A4" s="2"/>
      <c r="B4" s="2"/>
      <c r="C4" s="1"/>
      <c r="D4" s="1"/>
      <c r="E4" s="1"/>
      <c r="F4" s="1"/>
      <c r="G4" s="1"/>
    </row>
    <row r="5" spans="1:7" ht="20.25" x14ac:dyDescent="0.2">
      <c r="A5" s="2"/>
      <c r="B5" s="2"/>
      <c r="C5" s="1"/>
      <c r="D5" s="1"/>
      <c r="E5" s="1"/>
      <c r="F5" s="1"/>
      <c r="G5" s="1"/>
    </row>
    <row r="6" spans="1:7" ht="20.25" x14ac:dyDescent="0.2">
      <c r="A6" s="2"/>
      <c r="B6" s="2"/>
      <c r="C6" s="1"/>
      <c r="D6" s="1"/>
      <c r="E6" s="1"/>
      <c r="F6" s="1"/>
      <c r="G6" s="1"/>
    </row>
    <row r="7" spans="1:7" ht="20.25" x14ac:dyDescent="0.2">
      <c r="A7" s="2"/>
      <c r="B7" s="2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ht="15" thickBot="1" x14ac:dyDescent="0.25">
      <c r="A13" s="1"/>
      <c r="B13" s="1"/>
      <c r="C13" s="1"/>
      <c r="D13" s="1"/>
      <c r="E13" s="1"/>
      <c r="F13" s="1"/>
      <c r="G13" s="1"/>
    </row>
    <row r="14" spans="1:7" ht="15.75" thickBot="1" x14ac:dyDescent="0.25">
      <c r="A14" s="1"/>
      <c r="B14" s="1"/>
      <c r="C14" s="7" t="s">
        <v>0</v>
      </c>
      <c r="D14" s="8" t="s">
        <v>1</v>
      </c>
      <c r="E14" s="1"/>
      <c r="F14" s="1"/>
      <c r="G14" s="1"/>
    </row>
    <row r="15" spans="1:7" ht="18" customHeight="1" x14ac:dyDescent="0.2">
      <c r="A15" s="1"/>
      <c r="B15" s="1"/>
      <c r="C15" s="6">
        <v>1</v>
      </c>
      <c r="D15" s="6" t="s">
        <v>2</v>
      </c>
      <c r="E15" s="1"/>
      <c r="F15" s="1"/>
      <c r="G15" s="1"/>
    </row>
    <row r="16" spans="1:7" ht="18" customHeight="1" x14ac:dyDescent="0.2">
      <c r="A16" s="1"/>
      <c r="B16" s="1"/>
      <c r="C16" s="5">
        <v>2</v>
      </c>
      <c r="D16" s="5" t="s">
        <v>3</v>
      </c>
      <c r="E16" s="1"/>
      <c r="F16" s="1"/>
      <c r="G16" s="1"/>
    </row>
    <row r="17" spans="1:7" ht="18" customHeight="1" x14ac:dyDescent="0.2">
      <c r="A17" s="1"/>
      <c r="B17" s="1"/>
      <c r="C17" s="5">
        <v>3</v>
      </c>
      <c r="D17" s="5" t="s">
        <v>4</v>
      </c>
      <c r="E17" s="1"/>
      <c r="F17" s="1"/>
      <c r="G17" s="1"/>
    </row>
    <row r="18" spans="1:7" ht="18" customHeight="1" x14ac:dyDescent="0.2">
      <c r="A18" s="1"/>
      <c r="B18" s="1"/>
      <c r="C18" s="5">
        <v>4</v>
      </c>
      <c r="D18" s="5" t="s">
        <v>5</v>
      </c>
      <c r="E18" s="1"/>
      <c r="F18" s="1"/>
      <c r="G18" s="1"/>
    </row>
    <row r="19" spans="1:7" ht="18" customHeight="1" x14ac:dyDescent="0.2">
      <c r="A19" s="1"/>
      <c r="B19" s="1"/>
      <c r="C19" s="5">
        <v>5</v>
      </c>
      <c r="D19" s="5" t="s">
        <v>6</v>
      </c>
      <c r="E19" s="1"/>
      <c r="F19" s="1"/>
      <c r="G19" s="1"/>
    </row>
    <row r="20" spans="1:7" ht="18" customHeight="1" x14ac:dyDescent="0.2">
      <c r="A20" s="1"/>
      <c r="B20" s="1"/>
      <c r="C20" s="5">
        <v>6</v>
      </c>
      <c r="D20" s="5" t="s">
        <v>7</v>
      </c>
      <c r="E20" s="1"/>
      <c r="F20" s="1"/>
      <c r="G20" s="1"/>
    </row>
    <row r="21" spans="1:7" ht="18" customHeight="1" x14ac:dyDescent="0.2">
      <c r="A21" s="1"/>
      <c r="B21" s="1"/>
      <c r="C21" s="5">
        <v>7</v>
      </c>
      <c r="D21" s="5" t="s">
        <v>8</v>
      </c>
      <c r="E21" s="1"/>
      <c r="F21" s="1"/>
      <c r="G21" s="1"/>
    </row>
    <row r="22" spans="1:7" ht="18" customHeight="1" x14ac:dyDescent="0.2">
      <c r="A22" s="1"/>
      <c r="B22" s="1"/>
      <c r="C22" s="5">
        <v>8</v>
      </c>
      <c r="D22" s="5" t="s">
        <v>9</v>
      </c>
      <c r="E22" s="1"/>
      <c r="F22" s="1"/>
      <c r="G22" s="1"/>
    </row>
    <row r="23" spans="1:7" ht="18" customHeight="1" x14ac:dyDescent="0.2">
      <c r="A23" s="1"/>
      <c r="B23" s="1"/>
      <c r="C23" s="5">
        <v>9</v>
      </c>
      <c r="D23" s="5" t="s">
        <v>10</v>
      </c>
      <c r="E23" s="1"/>
      <c r="F23" s="1"/>
      <c r="G23" s="1"/>
    </row>
    <row r="24" spans="1:7" ht="18" customHeight="1" x14ac:dyDescent="0.2">
      <c r="A24" s="1"/>
      <c r="B24" s="1"/>
      <c r="C24" s="5">
        <v>10</v>
      </c>
      <c r="D24" s="5" t="s">
        <v>11</v>
      </c>
      <c r="E24" s="1"/>
      <c r="F24" s="1"/>
      <c r="G24" s="1"/>
    </row>
    <row r="25" spans="1:7" ht="18" customHeight="1" x14ac:dyDescent="0.2">
      <c r="A25" s="1"/>
      <c r="B25" s="1"/>
      <c r="C25" s="5">
        <v>11</v>
      </c>
      <c r="D25" s="5" t="s">
        <v>12</v>
      </c>
      <c r="E25" s="1"/>
      <c r="F25" s="1"/>
      <c r="G25" s="1"/>
    </row>
    <row r="26" spans="1:7" ht="18" customHeight="1" x14ac:dyDescent="0.2">
      <c r="A26" s="1"/>
      <c r="B26" s="1"/>
      <c r="C26" s="5">
        <v>12</v>
      </c>
      <c r="D26" s="5" t="s">
        <v>13</v>
      </c>
      <c r="E26" s="1"/>
      <c r="F26" s="1"/>
      <c r="G26" s="1"/>
    </row>
    <row r="27" spans="1:7" ht="18" customHeight="1" x14ac:dyDescent="0.2">
      <c r="A27" s="1"/>
      <c r="B27" s="1"/>
      <c r="C27" s="5">
        <v>13</v>
      </c>
      <c r="D27" s="5" t="s">
        <v>14</v>
      </c>
      <c r="E27" s="1"/>
      <c r="F27" s="1"/>
      <c r="G27" s="1"/>
    </row>
    <row r="28" spans="1:7" ht="18" customHeight="1" x14ac:dyDescent="0.2">
      <c r="A28" s="1"/>
      <c r="B28" s="1"/>
      <c r="C28" s="5">
        <v>14</v>
      </c>
      <c r="D28" s="5" t="s">
        <v>15</v>
      </c>
      <c r="E28" s="1"/>
      <c r="F28" s="1"/>
      <c r="G28" s="1"/>
    </row>
    <row r="29" spans="1:7" ht="18" customHeight="1" x14ac:dyDescent="0.2">
      <c r="A29" s="1"/>
      <c r="B29" s="1"/>
      <c r="C29" s="5">
        <v>15</v>
      </c>
      <c r="D29" s="5" t="s">
        <v>16</v>
      </c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J1" workbookViewId="0">
      <selection activeCell="U18" sqref="U18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</f>
        <v>0</v>
      </c>
      <c r="M8" s="51"/>
      <c r="N8" s="48"/>
      <c r="O8" s="49"/>
      <c r="P8" s="48"/>
      <c r="Q8" s="49"/>
      <c r="R8" s="48"/>
      <c r="S8" s="49"/>
      <c r="T8" s="48"/>
      <c r="U8" s="49"/>
      <c r="V8" s="48"/>
      <c r="W8" s="49"/>
      <c r="X8" s="48"/>
      <c r="Y8" s="49"/>
      <c r="Z8" s="48"/>
      <c r="AA8" s="49"/>
      <c r="AB8" s="48"/>
      <c r="AC8" s="49"/>
      <c r="AD8" s="48"/>
      <c r="AE8" s="49"/>
      <c r="AF8" s="48"/>
      <c r="AG8" s="49"/>
      <c r="AH8" s="48"/>
      <c r="AI8" s="49"/>
      <c r="AJ8" s="48"/>
      <c r="AK8" s="49"/>
      <c r="AL8" s="48"/>
      <c r="AM8" s="49"/>
      <c r="AN8" s="48"/>
      <c r="AO8" s="49"/>
      <c r="AP8" s="48"/>
      <c r="AQ8" s="49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0" t="s">
        <v>20</v>
      </c>
      <c r="E11" s="10" t="s">
        <v>21</v>
      </c>
      <c r="F11" s="10" t="s">
        <v>22</v>
      </c>
      <c r="G11" s="54"/>
      <c r="H11" s="10"/>
      <c r="I11" s="10"/>
      <c r="J11" s="10" t="s">
        <v>26</v>
      </c>
      <c r="K11" s="10" t="s">
        <v>27</v>
      </c>
      <c r="L11" s="10" t="s">
        <v>26</v>
      </c>
      <c r="M11" s="10" t="s">
        <v>27</v>
      </c>
      <c r="N11" s="10" t="s">
        <v>26</v>
      </c>
      <c r="O11" s="10" t="s">
        <v>27</v>
      </c>
      <c r="P11" s="10" t="s">
        <v>26</v>
      </c>
      <c r="Q11" s="10" t="s">
        <v>27</v>
      </c>
      <c r="R11" s="10" t="s">
        <v>26</v>
      </c>
      <c r="S11" s="10" t="s">
        <v>27</v>
      </c>
      <c r="T11" s="10" t="s">
        <v>26</v>
      </c>
      <c r="U11" s="10" t="s">
        <v>27</v>
      </c>
      <c r="V11" s="10" t="s">
        <v>26</v>
      </c>
      <c r="W11" s="10" t="s">
        <v>27</v>
      </c>
      <c r="X11" s="10" t="s">
        <v>26</v>
      </c>
      <c r="Y11" s="10" t="s">
        <v>27</v>
      </c>
      <c r="Z11" s="10" t="s">
        <v>26</v>
      </c>
      <c r="AA11" s="10" t="s">
        <v>27</v>
      </c>
      <c r="AB11" s="10" t="s">
        <v>26</v>
      </c>
      <c r="AC11" s="10" t="s">
        <v>27</v>
      </c>
      <c r="AD11" s="10" t="s">
        <v>26</v>
      </c>
      <c r="AE11" s="10" t="s">
        <v>27</v>
      </c>
      <c r="AF11" s="10" t="s">
        <v>26</v>
      </c>
      <c r="AG11" s="10" t="s">
        <v>27</v>
      </c>
      <c r="AH11" s="10" t="s">
        <v>26</v>
      </c>
      <c r="AI11" s="10" t="s">
        <v>27</v>
      </c>
      <c r="AJ11" s="10" t="s">
        <v>26</v>
      </c>
      <c r="AK11" s="10" t="s">
        <v>27</v>
      </c>
      <c r="AL11" s="10" t="s">
        <v>26</v>
      </c>
      <c r="AM11" s="10" t="s">
        <v>27</v>
      </c>
      <c r="AN11" s="10" t="s">
        <v>26</v>
      </c>
      <c r="AO11" s="10" t="s">
        <v>27</v>
      </c>
      <c r="AP11" s="10" t="s">
        <v>26</v>
      </c>
      <c r="AQ11" s="10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0"/>
      <c r="H32" s="10" t="str">
        <f>IF(J32&gt;K32,"ذياده",IF(J32&lt;K32,"ناقص",""))</f>
        <v/>
      </c>
      <c r="I32" s="10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P10:Q10"/>
    <mergeCell ref="AP10:AQ10"/>
    <mergeCell ref="A10:A11"/>
    <mergeCell ref="B10:B11"/>
    <mergeCell ref="C10:C11"/>
    <mergeCell ref="G10:G11"/>
    <mergeCell ref="AD10:AE10"/>
    <mergeCell ref="AF10:AG10"/>
    <mergeCell ref="AH10:AI10"/>
    <mergeCell ref="AJ10:AK10"/>
    <mergeCell ref="AL10:AM10"/>
    <mergeCell ref="AN10:AO10"/>
    <mergeCell ref="R10:S10"/>
    <mergeCell ref="T10:U10"/>
    <mergeCell ref="V10:W10"/>
    <mergeCell ref="X10:Y10"/>
    <mergeCell ref="Z10:AA10"/>
    <mergeCell ref="AP8:AQ8"/>
    <mergeCell ref="V8:W8"/>
    <mergeCell ref="X8:Y8"/>
    <mergeCell ref="Z8:AA8"/>
    <mergeCell ref="AB8:AC8"/>
    <mergeCell ref="AD8:AE8"/>
    <mergeCell ref="AF8:AG8"/>
    <mergeCell ref="A32:F32"/>
    <mergeCell ref="AH8:AI8"/>
    <mergeCell ref="AJ8:AK8"/>
    <mergeCell ref="AL8:AM8"/>
    <mergeCell ref="AN8:AO8"/>
    <mergeCell ref="L8:M8"/>
    <mergeCell ref="N8:O8"/>
    <mergeCell ref="P8:Q8"/>
    <mergeCell ref="R8:S8"/>
    <mergeCell ref="T8:U8"/>
    <mergeCell ref="AB10:AC10"/>
    <mergeCell ref="D10:F10"/>
    <mergeCell ref="H10:I10"/>
    <mergeCell ref="J10:K10"/>
    <mergeCell ref="L10:M10"/>
    <mergeCell ref="N10:O10"/>
  </mergeCells>
  <conditionalFormatting sqref="H12:H31">
    <cfRule type="expression" dxfId="41" priority="9">
      <formula>J12&lt;=K12</formula>
    </cfRule>
    <cfRule type="expression" dxfId="40" priority="11">
      <formula>J12&gt;K12</formula>
    </cfRule>
  </conditionalFormatting>
  <conditionalFormatting sqref="H12:H31">
    <cfRule type="expression" dxfId="39" priority="8">
      <formula>J12=K12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/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L32-M32+SUM('ارصده افتتاحيه'!L8:M8)</f>
        <v>0</v>
      </c>
      <c r="M8" s="51"/>
      <c r="N8" s="50">
        <f>N32-O32+SUM('ارصده افتتاحيه'!N8:O8)</f>
        <v>0</v>
      </c>
      <c r="O8" s="51"/>
      <c r="P8" s="50">
        <f>P32-Q32+SUM('ارصده افتتاحيه'!P8:Q8)</f>
        <v>0</v>
      </c>
      <c r="Q8" s="51"/>
      <c r="R8" s="50">
        <f>R32-S32+SUM('ارصده افتتاحيه'!R8:S8)</f>
        <v>0</v>
      </c>
      <c r="S8" s="51"/>
      <c r="T8" s="50">
        <f>T32-U32+SUM('ارصده افتتاحيه'!T8:U8)</f>
        <v>0</v>
      </c>
      <c r="U8" s="51"/>
      <c r="V8" s="50">
        <f>V32-W32+SUM('ارصده افتتاحيه'!V8:W8)</f>
        <v>0</v>
      </c>
      <c r="W8" s="51"/>
      <c r="X8" s="50">
        <f>X32-Y32+SUM('ارصده افتتاحيه'!X8:Y8)</f>
        <v>0</v>
      </c>
      <c r="Y8" s="51"/>
      <c r="Z8" s="50">
        <f>Z32-AA32+SUM('ارصده افتتاحيه'!Z8:AA8)</f>
        <v>0</v>
      </c>
      <c r="AA8" s="51"/>
      <c r="AB8" s="50">
        <f>AB32-AC32+SUM('ارصده افتتاحيه'!AB8:AC8)</f>
        <v>0</v>
      </c>
      <c r="AC8" s="51"/>
      <c r="AD8" s="50">
        <f>AD32-AE32+SUM('ارصده افتتاحيه'!AD8:AE8)</f>
        <v>0</v>
      </c>
      <c r="AE8" s="51"/>
      <c r="AF8" s="50">
        <f>AF32-AG32+SUM('ارصده افتتاحيه'!AF8:AG8)</f>
        <v>0</v>
      </c>
      <c r="AG8" s="51"/>
      <c r="AH8" s="50">
        <f>AH32-AI32+SUM('ارصده افتتاحيه'!AH8:AI8)</f>
        <v>0</v>
      </c>
      <c r="AI8" s="51"/>
      <c r="AJ8" s="50">
        <f>AJ32-AK32+SUM('ارصده افتتاحيه'!AJ8:AK8)</f>
        <v>0</v>
      </c>
      <c r="AK8" s="51"/>
      <c r="AL8" s="50">
        <f>AL32-AM32+SUM('ارصده افتتاحيه'!AL8:AM8)</f>
        <v>0</v>
      </c>
      <c r="AM8" s="51"/>
      <c r="AN8" s="50">
        <f>AN32-AO32+SUM('ارصده افتتاحيه'!AN8:AO8)</f>
        <v>0</v>
      </c>
      <c r="AO8" s="51"/>
      <c r="AP8" s="50">
        <f>AP32-AQ32+SUM('ارصده افتتاحيه'!AP8:AQ8)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38" priority="9">
      <formula>J12&lt;=K12</formula>
    </cfRule>
    <cfRule type="expression" dxfId="37" priority="10">
      <formula>J12&gt;K12</formula>
    </cfRule>
  </conditionalFormatting>
  <conditionalFormatting sqref="H12:H31">
    <cfRule type="expression" dxfId="36" priority="8">
      <formula>J12=K12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>
      <selection activeCell="M18" sqref="M18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L32-M32+SUM('1'!L8:M8)</f>
        <v>0</v>
      </c>
      <c r="M8" s="51"/>
      <c r="N8" s="50">
        <f>N32-O32+SUM('1'!N8:O8)</f>
        <v>0</v>
      </c>
      <c r="O8" s="51"/>
      <c r="P8" s="50">
        <f>P32-Q32+SUM('1'!P8:Q8)</f>
        <v>0</v>
      </c>
      <c r="Q8" s="51"/>
      <c r="R8" s="50">
        <f>R32-S32+SUM('1'!R8:S8)</f>
        <v>0</v>
      </c>
      <c r="S8" s="51"/>
      <c r="T8" s="50">
        <f>T32-U32+SUM('1'!T8:U8)</f>
        <v>0</v>
      </c>
      <c r="U8" s="51"/>
      <c r="V8" s="50">
        <f>V32-W32+SUM('1'!V8:W8)</f>
        <v>0</v>
      </c>
      <c r="W8" s="51"/>
      <c r="X8" s="50">
        <f>X32-Y32+SUM('1'!X8:Y8)</f>
        <v>0</v>
      </c>
      <c r="Y8" s="51"/>
      <c r="Z8" s="50">
        <f>Z32-AA32+SUM('1'!Z8:AA8)</f>
        <v>0</v>
      </c>
      <c r="AA8" s="51"/>
      <c r="AB8" s="50">
        <f>AB32-AC32+SUM('1'!AB8:AC8)</f>
        <v>0</v>
      </c>
      <c r="AC8" s="51"/>
      <c r="AD8" s="50">
        <f>AD32-AE32+SUM('1'!AD8:AE8)</f>
        <v>0</v>
      </c>
      <c r="AE8" s="51"/>
      <c r="AF8" s="50">
        <f>AF32-AG32+SUM('1'!AF8:AG8)</f>
        <v>0</v>
      </c>
      <c r="AG8" s="51"/>
      <c r="AH8" s="50">
        <f>AH32-AI32+SUM('1'!AH8:AI8)</f>
        <v>0</v>
      </c>
      <c r="AI8" s="51"/>
      <c r="AJ8" s="50">
        <f>AJ32-AK32+SUM('1'!AJ8:AK8)</f>
        <v>0</v>
      </c>
      <c r="AK8" s="51"/>
      <c r="AL8" s="50">
        <f>AL32-AM32+SUM('1'!AL8:AM8)</f>
        <v>0</v>
      </c>
      <c r="AM8" s="51"/>
      <c r="AN8" s="50">
        <f>AN32-AO32+SUM('1'!AN8:AO8)</f>
        <v>0</v>
      </c>
      <c r="AO8" s="51"/>
      <c r="AP8" s="50">
        <f>AP32-AQ32+SUM('1'!AP8:AQ8)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35" priority="9">
      <formula>J12&lt;=K12</formula>
    </cfRule>
    <cfRule type="expression" dxfId="34" priority="10">
      <formula>J12&gt;K12</formula>
    </cfRule>
  </conditionalFormatting>
  <conditionalFormatting sqref="H12:H31">
    <cfRule type="expression" dxfId="33" priority="8">
      <formula>J12=K12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>
      <selection activeCell="M18" sqref="M18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L32-M32+SUM('2'!L8:M8)</f>
        <v>0</v>
      </c>
      <c r="M8" s="51"/>
      <c r="N8" s="50">
        <f>N32-O32+SUM('2'!N8:O8)</f>
        <v>0</v>
      </c>
      <c r="O8" s="51"/>
      <c r="P8" s="50">
        <f>P32-Q32+SUM('2'!P8:Q8)</f>
        <v>0</v>
      </c>
      <c r="Q8" s="51"/>
      <c r="R8" s="50">
        <f>R32-S32+SUM('2'!R8:S8)</f>
        <v>0</v>
      </c>
      <c r="S8" s="51"/>
      <c r="T8" s="50">
        <f>T32-U32+SUM('2'!T8:U8)</f>
        <v>0</v>
      </c>
      <c r="U8" s="51"/>
      <c r="V8" s="50">
        <f>V32-W32+SUM('2'!V8:W8)</f>
        <v>0</v>
      </c>
      <c r="W8" s="51"/>
      <c r="X8" s="50">
        <f>X32-Y32+SUM('2'!X8:Y8)</f>
        <v>0</v>
      </c>
      <c r="Y8" s="51"/>
      <c r="Z8" s="50">
        <f>Z32-AA32+SUM('2'!Z8:AA8)</f>
        <v>0</v>
      </c>
      <c r="AA8" s="51"/>
      <c r="AB8" s="50">
        <f>AB32-AC32+SUM('2'!AB8:AC8)</f>
        <v>0</v>
      </c>
      <c r="AC8" s="51"/>
      <c r="AD8" s="50">
        <f>AD32-AE32+SUM('2'!AD8:AE8)</f>
        <v>0</v>
      </c>
      <c r="AE8" s="51"/>
      <c r="AF8" s="50">
        <f>AF32-AG32+SUM('2'!AF8:AG8)</f>
        <v>0</v>
      </c>
      <c r="AG8" s="51"/>
      <c r="AH8" s="50">
        <f>AH32-AI32+SUM('2'!AH8:AI8)</f>
        <v>0</v>
      </c>
      <c r="AI8" s="51"/>
      <c r="AJ8" s="50">
        <f>AJ32-AK32+SUM('2'!AJ8:AK8)</f>
        <v>0</v>
      </c>
      <c r="AK8" s="51"/>
      <c r="AL8" s="50">
        <f>AL32-AM32+SUM('2'!AL8:AM8)</f>
        <v>0</v>
      </c>
      <c r="AM8" s="51"/>
      <c r="AN8" s="50">
        <f>AN32-AO32+SUM('2'!AN8:AO8)</f>
        <v>0</v>
      </c>
      <c r="AO8" s="51"/>
      <c r="AP8" s="50">
        <f>AP32-AQ32+SUM('2'!AP8:AQ8)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32" priority="9">
      <formula>J12&lt;=K12</formula>
    </cfRule>
    <cfRule type="expression" dxfId="31" priority="10">
      <formula>J12&gt;K12</formula>
    </cfRule>
  </conditionalFormatting>
  <conditionalFormatting sqref="H12:H31">
    <cfRule type="expression" dxfId="30" priority="8">
      <formula>J12=K12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/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L32-M32+SUM('3'!L8:M8)</f>
        <v>0</v>
      </c>
      <c r="M8" s="51"/>
      <c r="N8" s="50">
        <f>N32-O32+SUM('3'!N8:O8)</f>
        <v>0</v>
      </c>
      <c r="O8" s="51"/>
      <c r="P8" s="50">
        <f>P32-Q32+SUM('3'!P8:Q8)</f>
        <v>0</v>
      </c>
      <c r="Q8" s="51"/>
      <c r="R8" s="50">
        <f>R32-S32+SUM('3'!R8:S8)</f>
        <v>0</v>
      </c>
      <c r="S8" s="51"/>
      <c r="T8" s="50">
        <f>T32-U32+SUM('3'!T8:U8)</f>
        <v>0</v>
      </c>
      <c r="U8" s="51"/>
      <c r="V8" s="50">
        <f>V32-W32+SUM('3'!V8:W8)</f>
        <v>0</v>
      </c>
      <c r="W8" s="51"/>
      <c r="X8" s="50">
        <f>X32-Y32+SUM('3'!X8:Y8)</f>
        <v>0</v>
      </c>
      <c r="Y8" s="51"/>
      <c r="Z8" s="50">
        <f>Z32-AA32+SUM('3'!Z8:AA8)</f>
        <v>0</v>
      </c>
      <c r="AA8" s="51"/>
      <c r="AB8" s="50">
        <f>AB32-AC32+SUM('3'!AB8:AC8)</f>
        <v>0</v>
      </c>
      <c r="AC8" s="51"/>
      <c r="AD8" s="50">
        <f>AD32-AE32+SUM('3'!AD8:AE8)</f>
        <v>0</v>
      </c>
      <c r="AE8" s="51"/>
      <c r="AF8" s="50">
        <f>AF32-AG32+SUM('3'!AF8:AG8)</f>
        <v>0</v>
      </c>
      <c r="AG8" s="51"/>
      <c r="AH8" s="50">
        <f>AH32-AI32+SUM('3'!AH8:AI8)</f>
        <v>0</v>
      </c>
      <c r="AI8" s="51"/>
      <c r="AJ8" s="50">
        <f>AJ32-AK32+SUM('3'!AJ8:AK8)</f>
        <v>0</v>
      </c>
      <c r="AK8" s="51"/>
      <c r="AL8" s="50">
        <f>AL32-AM32+SUM('3'!AL8:AM8)</f>
        <v>0</v>
      </c>
      <c r="AM8" s="51"/>
      <c r="AN8" s="50">
        <f>AN32-AO32+SUM('3'!AN8:AO8)</f>
        <v>0</v>
      </c>
      <c r="AO8" s="51"/>
      <c r="AP8" s="50">
        <f>AP32-AQ32+SUM('3'!AP8:AQ8)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29" priority="9">
      <formula>J12&lt;=K12</formula>
    </cfRule>
    <cfRule type="expression" dxfId="28" priority="10">
      <formula>J12&gt;K12</formula>
    </cfRule>
  </conditionalFormatting>
  <conditionalFormatting sqref="H12:H31">
    <cfRule type="expression" dxfId="27" priority="8">
      <formula>J12=K12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A13" workbookViewId="0">
      <selection activeCell="N25" sqref="N25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L32-M32+SUM('4'!L8:M8)</f>
        <v>0</v>
      </c>
      <c r="M8" s="51"/>
      <c r="N8" s="50">
        <f>N32-O32+SUM('4'!N8:O8)</f>
        <v>0</v>
      </c>
      <c r="O8" s="51"/>
      <c r="P8" s="50">
        <f>P32-Q32+SUM('4'!P8:Q8)</f>
        <v>0</v>
      </c>
      <c r="Q8" s="51"/>
      <c r="R8" s="50">
        <f>R32-S32+SUM('4'!R8:S8)</f>
        <v>0</v>
      </c>
      <c r="S8" s="51"/>
      <c r="T8" s="50">
        <f>T32-U32+SUM('4'!T8:U8)</f>
        <v>0</v>
      </c>
      <c r="U8" s="51"/>
      <c r="V8" s="50">
        <f>V32-W32+SUM('4'!V8:W8)</f>
        <v>0</v>
      </c>
      <c r="W8" s="51"/>
      <c r="X8" s="50">
        <f>X32-Y32+SUM('4'!X8:Y8)</f>
        <v>0</v>
      </c>
      <c r="Y8" s="51"/>
      <c r="Z8" s="50">
        <f>Z32-AA32+SUM('4'!Z8:AA8)</f>
        <v>0</v>
      </c>
      <c r="AA8" s="51"/>
      <c r="AB8" s="50">
        <f>AB32-AC32+SUM('4'!AB8:AC8)</f>
        <v>0</v>
      </c>
      <c r="AC8" s="51"/>
      <c r="AD8" s="50">
        <f>AD32-AE32+SUM('4'!AD8:AE8)</f>
        <v>0</v>
      </c>
      <c r="AE8" s="51"/>
      <c r="AF8" s="50">
        <f>AF32-AG32+SUM('4'!AF8:AG8)</f>
        <v>0</v>
      </c>
      <c r="AG8" s="51"/>
      <c r="AH8" s="50">
        <f>AH32-AI32+SUM('4'!AH8:AI8)</f>
        <v>0</v>
      </c>
      <c r="AI8" s="51"/>
      <c r="AJ8" s="50">
        <f>AJ32-AK32+SUM('4'!AJ8:AK8)</f>
        <v>0</v>
      </c>
      <c r="AK8" s="51"/>
      <c r="AL8" s="50">
        <f>AL32-AM32+SUM('4'!AL8:AM8)</f>
        <v>0</v>
      </c>
      <c r="AM8" s="51"/>
      <c r="AN8" s="50">
        <f>AN32-AO32+SUM('4'!AN8:AO8)</f>
        <v>0</v>
      </c>
      <c r="AO8" s="51"/>
      <c r="AP8" s="50">
        <f>AP32-AQ32+SUM('4'!AP8:AQ8)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26" priority="9">
      <formula>J12&lt;=K12</formula>
    </cfRule>
    <cfRule type="expression" dxfId="25" priority="10">
      <formula>J12&gt;K12</formula>
    </cfRule>
  </conditionalFormatting>
  <conditionalFormatting sqref="H12:H31">
    <cfRule type="expression" dxfId="24" priority="8">
      <formula>J12=K12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>
      <selection activeCell="N25" sqref="N25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L32-M32+SUM('5'!L8:M8)</f>
        <v>0</v>
      </c>
      <c r="M8" s="51"/>
      <c r="N8" s="50">
        <f>N32-O32+SUM('5'!N8:O8)</f>
        <v>0</v>
      </c>
      <c r="O8" s="51"/>
      <c r="P8" s="50">
        <f>P32-Q32+SUM('5'!P8:Q8)</f>
        <v>0</v>
      </c>
      <c r="Q8" s="51"/>
      <c r="R8" s="50">
        <f>R32-S32+SUM('5'!R8:S8)</f>
        <v>0</v>
      </c>
      <c r="S8" s="51"/>
      <c r="T8" s="50">
        <f>T32-U32+SUM('5'!T8:U8)</f>
        <v>0</v>
      </c>
      <c r="U8" s="51"/>
      <c r="V8" s="50">
        <f>V32-W32+SUM('5'!V8:W8)</f>
        <v>0</v>
      </c>
      <c r="W8" s="51"/>
      <c r="X8" s="50">
        <f>X32-Y32+SUM('5'!X8:Y8)</f>
        <v>0</v>
      </c>
      <c r="Y8" s="51"/>
      <c r="Z8" s="50">
        <f>Z32-AA32+SUM('5'!Z8:AA8)</f>
        <v>0</v>
      </c>
      <c r="AA8" s="51"/>
      <c r="AB8" s="50">
        <f>AB32-AC32+SUM('5'!AB8:AC8)</f>
        <v>0</v>
      </c>
      <c r="AC8" s="51"/>
      <c r="AD8" s="50">
        <f>AD32-AE32+SUM('5'!AD8:AE8)</f>
        <v>0</v>
      </c>
      <c r="AE8" s="51"/>
      <c r="AF8" s="50">
        <f>AF32-AG32+SUM('5'!AF8:AG8)</f>
        <v>0</v>
      </c>
      <c r="AG8" s="51"/>
      <c r="AH8" s="50">
        <f>AH32-AI32+SUM('5'!AH8:AI8)</f>
        <v>0</v>
      </c>
      <c r="AI8" s="51"/>
      <c r="AJ8" s="50">
        <f>AJ32-AK32+SUM('5'!AJ8:AK8)</f>
        <v>0</v>
      </c>
      <c r="AK8" s="51"/>
      <c r="AL8" s="50">
        <f>AL32-AM32+SUM('5'!AL8:AM8)</f>
        <v>0</v>
      </c>
      <c r="AM8" s="51"/>
      <c r="AN8" s="50">
        <f>AN32-AO32+SUM('5'!AN8:AO8)</f>
        <v>0</v>
      </c>
      <c r="AO8" s="51"/>
      <c r="AP8" s="50">
        <f>AP32-AQ32+SUM('5'!AP8:AQ8)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23" priority="9">
      <formula>J12&lt;=K12</formula>
    </cfRule>
    <cfRule type="expression" dxfId="22" priority="10">
      <formula>J12&gt;K12</formula>
    </cfRule>
  </conditionalFormatting>
  <conditionalFormatting sqref="H12:H31">
    <cfRule type="expression" dxfId="21" priority="8">
      <formula>J12=K12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>
      <selection activeCell="M14" sqref="M14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L32-M32+SUM('6'!L8:M8)</f>
        <v>-1000</v>
      </c>
      <c r="M8" s="51"/>
      <c r="N8" s="50">
        <f>N32-O32+SUM('6'!N8:O8)</f>
        <v>0</v>
      </c>
      <c r="O8" s="51"/>
      <c r="P8" s="50">
        <f>P32-Q32+SUM('6'!P8:Q8)</f>
        <v>0</v>
      </c>
      <c r="Q8" s="51"/>
      <c r="R8" s="50">
        <f>R32-S32+SUM('6'!R8:S8)</f>
        <v>0</v>
      </c>
      <c r="S8" s="51"/>
      <c r="T8" s="50">
        <f>T32-U32+SUM('6'!T8:U8)</f>
        <v>0</v>
      </c>
      <c r="U8" s="51"/>
      <c r="V8" s="50">
        <f>V32-W32+SUM('6'!V8:W8)</f>
        <v>0</v>
      </c>
      <c r="W8" s="51"/>
      <c r="X8" s="50">
        <f>X32-Y32+SUM('6'!X8:Y8)</f>
        <v>0</v>
      </c>
      <c r="Y8" s="51"/>
      <c r="Z8" s="50">
        <f>Z32-AA32+SUM('6'!Z8:AA8)</f>
        <v>0</v>
      </c>
      <c r="AA8" s="51"/>
      <c r="AB8" s="50">
        <f>AB32-AC32+SUM('6'!AB8:AC8)</f>
        <v>0</v>
      </c>
      <c r="AC8" s="51"/>
      <c r="AD8" s="50">
        <f>AD32-AE32+SUM('6'!AD8:AE8)</f>
        <v>0</v>
      </c>
      <c r="AE8" s="51"/>
      <c r="AF8" s="50">
        <f>AF32-AG32+SUM('6'!AF8:AG8)</f>
        <v>0</v>
      </c>
      <c r="AG8" s="51"/>
      <c r="AH8" s="50">
        <f>AH32-AI32+SUM('6'!AH8:AI8)</f>
        <v>0</v>
      </c>
      <c r="AI8" s="51"/>
      <c r="AJ8" s="50">
        <f>AJ32-AK32+SUM('6'!AJ8:AK8)</f>
        <v>0</v>
      </c>
      <c r="AK8" s="51"/>
      <c r="AL8" s="50">
        <f>AL32-AM32+SUM('6'!AL8:AM8)</f>
        <v>0</v>
      </c>
      <c r="AM8" s="51"/>
      <c r="AN8" s="50">
        <f>AN32-AO32+SUM('6'!AN8:AO8)</f>
        <v>0</v>
      </c>
      <c r="AO8" s="51"/>
      <c r="AP8" s="50">
        <f>AP32-AQ32+SUM('6'!AP8:AQ8)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>غير متزن</v>
      </c>
      <c r="H14" s="11" t="str">
        <f t="shared" si="1"/>
        <v>ناقص</v>
      </c>
      <c r="I14" s="13">
        <f t="shared" si="2"/>
        <v>1000</v>
      </c>
      <c r="J14" s="13">
        <f t="shared" si="3"/>
        <v>0</v>
      </c>
      <c r="K14" s="11">
        <f t="shared" si="4"/>
        <v>1000</v>
      </c>
      <c r="L14" s="12"/>
      <c r="M14" s="12">
        <v>1000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>ناقص</v>
      </c>
      <c r="I32" s="16"/>
      <c r="J32" s="14">
        <f>SUM(J12:J31)</f>
        <v>0</v>
      </c>
      <c r="K32" s="14">
        <f t="shared" ref="K32:AQ32" si="5">SUM(K12:K31)</f>
        <v>1000</v>
      </c>
      <c r="L32" s="14">
        <f t="shared" si="5"/>
        <v>0</v>
      </c>
      <c r="M32" s="14">
        <f t="shared" si="5"/>
        <v>1000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20" priority="9">
      <formula>J12&lt;=K12</formula>
    </cfRule>
    <cfRule type="expression" dxfId="19" priority="10">
      <formula>J12&gt;K12</formula>
    </cfRule>
  </conditionalFormatting>
  <conditionalFormatting sqref="H12:H31">
    <cfRule type="expression" dxfId="18" priority="8">
      <formula>J12=K12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A7" workbookViewId="0">
      <selection activeCell="N25" sqref="N25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L32-M32+SUM('7'!L8:M8)</f>
        <v>-1000</v>
      </c>
      <c r="M8" s="51"/>
      <c r="N8" s="50">
        <f>N32-O32+SUM('7'!N8:O8)</f>
        <v>0</v>
      </c>
      <c r="O8" s="51"/>
      <c r="P8" s="50">
        <f>P32-Q32+SUM('7'!P8:Q8)</f>
        <v>0</v>
      </c>
      <c r="Q8" s="51"/>
      <c r="R8" s="50">
        <f>R32-S32+SUM('7'!R8:S8)</f>
        <v>0</v>
      </c>
      <c r="S8" s="51"/>
      <c r="T8" s="50">
        <f>T32-U32+SUM('7'!T8:U8)</f>
        <v>0</v>
      </c>
      <c r="U8" s="51"/>
      <c r="V8" s="50">
        <f>V32-W32+SUM('7'!V8:W8)</f>
        <v>0</v>
      </c>
      <c r="W8" s="51"/>
      <c r="X8" s="50">
        <f>X32-Y32+SUM('7'!X8:Y8)</f>
        <v>0</v>
      </c>
      <c r="Y8" s="51"/>
      <c r="Z8" s="50">
        <f>Z32-AA32+SUM('7'!Z8:AA8)</f>
        <v>0</v>
      </c>
      <c r="AA8" s="51"/>
      <c r="AB8" s="50">
        <f>AB32-AC32+SUM('7'!AB8:AC8)</f>
        <v>0</v>
      </c>
      <c r="AC8" s="51"/>
      <c r="AD8" s="50">
        <f>AD32-AE32+SUM('7'!AD8:AE8)</f>
        <v>0</v>
      </c>
      <c r="AE8" s="51"/>
      <c r="AF8" s="50">
        <f>AF32-AG32+SUM('7'!AF8:AG8)</f>
        <v>0</v>
      </c>
      <c r="AG8" s="51"/>
      <c r="AH8" s="50">
        <f>AH32-AI32+SUM('7'!AH8:AI8)</f>
        <v>0</v>
      </c>
      <c r="AI8" s="51"/>
      <c r="AJ8" s="50">
        <f>AJ32-AK32+SUM('7'!AJ8:AK8)</f>
        <v>0</v>
      </c>
      <c r="AK8" s="51"/>
      <c r="AL8" s="50">
        <f>AL32-AM32+SUM('7'!AL8:AM8)</f>
        <v>0</v>
      </c>
      <c r="AM8" s="51"/>
      <c r="AN8" s="50">
        <f>AN32-AO32+SUM('7'!AN8:AO8)</f>
        <v>0</v>
      </c>
      <c r="AO8" s="51"/>
      <c r="AP8" s="50">
        <f>AP32-AQ32+SUM('7'!AP8:AQ8)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17" priority="9">
      <formula>J12&lt;=K12</formula>
    </cfRule>
    <cfRule type="expression" dxfId="16" priority="10">
      <formula>J12&gt;K12</formula>
    </cfRule>
  </conditionalFormatting>
  <conditionalFormatting sqref="H12:H31">
    <cfRule type="expression" dxfId="15" priority="8">
      <formula>J12=K12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E7" workbookViewId="0">
      <selection activeCell="U22" sqref="U22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L32-M32+SUM('8'!L8:M8)</f>
        <v>-1000</v>
      </c>
      <c r="M8" s="51"/>
      <c r="N8" s="50">
        <f>N32-O32+SUM('8'!N8:O8)</f>
        <v>0</v>
      </c>
      <c r="O8" s="51"/>
      <c r="P8" s="50">
        <f>P32-Q32+SUM('8'!P8:Q8)</f>
        <v>0</v>
      </c>
      <c r="Q8" s="51"/>
      <c r="R8" s="50">
        <f>R32-S32+SUM('8'!R8:S8)</f>
        <v>0</v>
      </c>
      <c r="S8" s="51"/>
      <c r="T8" s="50">
        <f>T32-U32+SUM('8'!T8:U8)</f>
        <v>0</v>
      </c>
      <c r="U8" s="51"/>
      <c r="V8" s="50">
        <f>V32-W32+SUM('8'!V8:W8)</f>
        <v>0</v>
      </c>
      <c r="W8" s="51"/>
      <c r="X8" s="50">
        <f>X32-Y32+SUM('8'!X8:Y8)</f>
        <v>0</v>
      </c>
      <c r="Y8" s="51"/>
      <c r="Z8" s="50">
        <f>Z32-AA32+SUM('8'!Z8:AA8)</f>
        <v>0</v>
      </c>
      <c r="AA8" s="51"/>
      <c r="AB8" s="50">
        <f>AB32-AC32+SUM('8'!AB8:AC8)</f>
        <v>0</v>
      </c>
      <c r="AC8" s="51"/>
      <c r="AD8" s="50">
        <f>AD32-AE32+SUM('8'!AD8:AE8)</f>
        <v>0</v>
      </c>
      <c r="AE8" s="51"/>
      <c r="AF8" s="50">
        <f>AF32-AG32+SUM('8'!AF8:AG8)</f>
        <v>0</v>
      </c>
      <c r="AG8" s="51"/>
      <c r="AH8" s="50">
        <f>AH32-AI32+SUM('8'!AH8:AI8)</f>
        <v>0</v>
      </c>
      <c r="AI8" s="51"/>
      <c r="AJ8" s="50">
        <f>AJ32-AK32+SUM('8'!AJ8:AK8)</f>
        <v>0</v>
      </c>
      <c r="AK8" s="51"/>
      <c r="AL8" s="50">
        <f>AL32-AM32+SUM('8'!AL8:AM8)</f>
        <v>0</v>
      </c>
      <c r="AM8" s="51"/>
      <c r="AN8" s="50">
        <f>AN32-AO32+SUM('8'!AN8:AO8)</f>
        <v>0</v>
      </c>
      <c r="AO8" s="51"/>
      <c r="AP8" s="50">
        <f>AP32-AQ32+SUM('8'!AP8:AQ8)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14" priority="9">
      <formula>J12&lt;=K12</formula>
    </cfRule>
    <cfRule type="expression" dxfId="13" priority="10">
      <formula>J12&gt;K12</formula>
    </cfRule>
  </conditionalFormatting>
  <conditionalFormatting sqref="H12:H31">
    <cfRule type="expression" dxfId="12" priority="8">
      <formula>J12=K12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workbookViewId="0">
      <selection activeCell="N25" sqref="N25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L32-M32+SUM('9'!L8:M8)</f>
        <v>-1000</v>
      </c>
      <c r="M8" s="51"/>
      <c r="N8" s="50">
        <f>N32-O32+SUM('9'!N8:O8)</f>
        <v>0</v>
      </c>
      <c r="O8" s="51"/>
      <c r="P8" s="50">
        <f>P32-Q32+SUM('9'!P8:Q8)</f>
        <v>0</v>
      </c>
      <c r="Q8" s="51"/>
      <c r="R8" s="50">
        <f>R32-S32+SUM('9'!R8:S8)</f>
        <v>0</v>
      </c>
      <c r="S8" s="51"/>
      <c r="T8" s="50">
        <f>T32-U32+SUM('9'!T8:U8)</f>
        <v>0</v>
      </c>
      <c r="U8" s="51"/>
      <c r="V8" s="50">
        <f>V32-W32+SUM('9'!V8:W8)</f>
        <v>0</v>
      </c>
      <c r="W8" s="51"/>
      <c r="X8" s="50">
        <f>X32-Y32+SUM('9'!X8:Y8)</f>
        <v>0</v>
      </c>
      <c r="Y8" s="51"/>
      <c r="Z8" s="50">
        <f>Z32-AA32+SUM('9'!Z8:AA8)</f>
        <v>0</v>
      </c>
      <c r="AA8" s="51"/>
      <c r="AB8" s="50">
        <f>AB32-AC32+SUM('9'!AB8:AC8)</f>
        <v>0</v>
      </c>
      <c r="AC8" s="51"/>
      <c r="AD8" s="50">
        <f>AD32-AE32+SUM('9'!AD8:AE8)</f>
        <v>0</v>
      </c>
      <c r="AE8" s="51"/>
      <c r="AF8" s="50">
        <f>AF32-AG32+SUM('9'!AF8:AG8)</f>
        <v>0</v>
      </c>
      <c r="AG8" s="51"/>
      <c r="AH8" s="50">
        <f>AH32-AI32+SUM('9'!AH8:AI8)</f>
        <v>0</v>
      </c>
      <c r="AI8" s="51"/>
      <c r="AJ8" s="50">
        <f>AJ32-AK32+SUM('9'!AJ8:AK8)</f>
        <v>0</v>
      </c>
      <c r="AK8" s="51"/>
      <c r="AL8" s="50">
        <f>AL32-AM32+SUM('9'!AL8:AM8)</f>
        <v>0</v>
      </c>
      <c r="AM8" s="51"/>
      <c r="AN8" s="50">
        <f>AN32-AO32+SUM('9'!AN8:AO8)</f>
        <v>0</v>
      </c>
      <c r="AO8" s="51"/>
      <c r="AP8" s="50">
        <f>AP32-AQ32+SUM('9'!AP8:AQ8)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11" priority="9">
      <formula>J12&lt;=K12</formula>
    </cfRule>
    <cfRule type="expression" dxfId="10" priority="10">
      <formula>J12&gt;K12</formula>
    </cfRule>
  </conditionalFormatting>
  <conditionalFormatting sqref="H12:H31">
    <cfRule type="expression" dxfId="9" priority="8">
      <formula>J12=K12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N1" workbookViewId="0">
      <selection activeCell="T24" sqref="T24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L32-M32+SUM('10'!L8:M8)</f>
        <v>-1000</v>
      </c>
      <c r="M8" s="51"/>
      <c r="N8" s="50">
        <f>N32-O32+SUM('10'!N8:O8)</f>
        <v>0</v>
      </c>
      <c r="O8" s="51"/>
      <c r="P8" s="50">
        <f>P32-Q32+SUM('10'!P8:Q8)</f>
        <v>0</v>
      </c>
      <c r="Q8" s="51"/>
      <c r="R8" s="50">
        <f>R32-S32+SUM('10'!R8:S8)</f>
        <v>0</v>
      </c>
      <c r="S8" s="51"/>
      <c r="T8" s="50">
        <f>T32-U32+SUM('10'!T8:U8)</f>
        <v>0</v>
      </c>
      <c r="U8" s="51"/>
      <c r="V8" s="50">
        <f>V32-W32+SUM('10'!V8:W8)</f>
        <v>0</v>
      </c>
      <c r="W8" s="51"/>
      <c r="X8" s="50">
        <f>X32-Y32+SUM('10'!X8:Y8)</f>
        <v>0</v>
      </c>
      <c r="Y8" s="51"/>
      <c r="Z8" s="50">
        <f>Z32-AA32+SUM('10'!Z8:AA8)</f>
        <v>0</v>
      </c>
      <c r="AA8" s="51"/>
      <c r="AB8" s="50">
        <f>AB32-AC32+SUM('10'!AB8:AC8)</f>
        <v>0</v>
      </c>
      <c r="AC8" s="51"/>
      <c r="AD8" s="50">
        <f>AD32-AE32+SUM('10'!AD8:AE8)</f>
        <v>0</v>
      </c>
      <c r="AE8" s="51"/>
      <c r="AF8" s="50">
        <f>AF32-AG32+SUM('10'!AF8:AG8)</f>
        <v>0</v>
      </c>
      <c r="AG8" s="51"/>
      <c r="AH8" s="50">
        <f>AH32-AI32+SUM('10'!AH8:AI8)</f>
        <v>0</v>
      </c>
      <c r="AI8" s="51"/>
      <c r="AJ8" s="50">
        <f>AJ32-AK32+SUM('10'!AJ8:AK8)</f>
        <v>0</v>
      </c>
      <c r="AK8" s="51"/>
      <c r="AL8" s="50">
        <f>AL32-AM32+SUM('10'!AL8:AM8)</f>
        <v>0</v>
      </c>
      <c r="AM8" s="51"/>
      <c r="AN8" s="50">
        <f>AN32-AO32+SUM('10'!AN8:AO8)</f>
        <v>0</v>
      </c>
      <c r="AO8" s="51"/>
      <c r="AP8" s="50">
        <f>AP32-AQ32+SUM('10'!AP8:AQ8)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8" priority="9">
      <formula>J12&lt;=K12</formula>
    </cfRule>
    <cfRule type="expression" dxfId="7" priority="10">
      <formula>J12&gt;K12</formula>
    </cfRule>
  </conditionalFormatting>
  <conditionalFormatting sqref="H12:H31">
    <cfRule type="expression" dxfId="6" priority="8">
      <formula>J12=K12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S7" workbookViewId="0">
      <selection activeCell="AE29" sqref="AE29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L32-M32+SUM('11'!L8:M8)</f>
        <v>-1000</v>
      </c>
      <c r="M8" s="51"/>
      <c r="N8" s="50">
        <f>N32-O32+SUM('11'!N8:O8)</f>
        <v>0</v>
      </c>
      <c r="O8" s="51"/>
      <c r="P8" s="50">
        <f>P32-Q32+SUM('11'!P8:Q8)</f>
        <v>0</v>
      </c>
      <c r="Q8" s="51"/>
      <c r="R8" s="50">
        <f>R32-S32+SUM('11'!R8:S8)</f>
        <v>0</v>
      </c>
      <c r="S8" s="51"/>
      <c r="T8" s="50">
        <f>T32-U32+SUM('11'!T8:U8)</f>
        <v>0</v>
      </c>
      <c r="U8" s="51"/>
      <c r="V8" s="50">
        <f>V32-W32+SUM('11'!V8:W8)</f>
        <v>0</v>
      </c>
      <c r="W8" s="51"/>
      <c r="X8" s="50">
        <f>X32-Y32+SUM('11'!X8:Y8)</f>
        <v>0</v>
      </c>
      <c r="Y8" s="51"/>
      <c r="Z8" s="50">
        <f>Z32-AA32+SUM('11'!Z8:AA8)</f>
        <v>0</v>
      </c>
      <c r="AA8" s="51"/>
      <c r="AB8" s="50">
        <f>AB32-AC32+SUM('11'!AB8:AC8)</f>
        <v>0</v>
      </c>
      <c r="AC8" s="51"/>
      <c r="AD8" s="50">
        <f>AD32-AE32+SUM('11'!AD8:AE8)</f>
        <v>0</v>
      </c>
      <c r="AE8" s="51"/>
      <c r="AF8" s="50">
        <f>AF32-AG32+SUM('11'!AF8:AG8)</f>
        <v>0</v>
      </c>
      <c r="AG8" s="51"/>
      <c r="AH8" s="50">
        <f>AH32-AI32+SUM('11'!AH8:AI8)</f>
        <v>0</v>
      </c>
      <c r="AI8" s="51"/>
      <c r="AJ8" s="50">
        <f>AJ32-AK32+SUM('11'!AJ8:AK8)</f>
        <v>0</v>
      </c>
      <c r="AK8" s="51"/>
      <c r="AL8" s="50">
        <f>AL32-AM32+SUM('11'!AL8:AM8)</f>
        <v>0</v>
      </c>
      <c r="AM8" s="51"/>
      <c r="AN8" s="50">
        <f>AN32-AO32+SUM('11'!AN8:AO8)</f>
        <v>0</v>
      </c>
      <c r="AO8" s="51"/>
      <c r="AP8" s="50">
        <f>AP32-AQ32+SUM('11'!AP8:AQ8)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5" priority="9">
      <formula>J12&lt;=K12</formula>
    </cfRule>
    <cfRule type="expression" dxfId="4" priority="10">
      <formula>J12&gt;K12</formula>
    </cfRule>
  </conditionalFormatting>
  <conditionalFormatting sqref="H12:H31">
    <cfRule type="expression" dxfId="3" priority="8">
      <formula>J12=K12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rightToLeft="1" topLeftCell="A7" workbookViewId="0">
      <selection activeCell="N25" sqref="N25"/>
    </sheetView>
  </sheetViews>
  <sheetFormatPr defaultRowHeight="14.25" x14ac:dyDescent="0.2"/>
  <cols>
    <col min="1" max="1" width="4.75" style="3" customWidth="1"/>
    <col min="2" max="8" width="9" style="3"/>
    <col min="9" max="10" width="9.5" style="3" bestFit="1" customWidth="1"/>
    <col min="11" max="11" width="9.375" style="3" bestFit="1" customWidth="1"/>
    <col min="12" max="12" width="9.125" style="3" bestFit="1" customWidth="1"/>
    <col min="13" max="13" width="9" style="3"/>
    <col min="14" max="14" width="9.125" style="3" bestFit="1" customWidth="1"/>
    <col min="15" max="15" width="9" style="3"/>
    <col min="16" max="16" width="9.5" style="3" bestFit="1" customWidth="1"/>
    <col min="17" max="17" width="9" style="3"/>
    <col min="18" max="18" width="9.125" style="3" bestFit="1" customWidth="1"/>
    <col min="19" max="23" width="9" style="3"/>
    <col min="24" max="24" width="9.375" style="3" bestFit="1" customWidth="1"/>
    <col min="25" max="26" width="9" style="3"/>
    <col min="27" max="27" width="9.375" style="3" bestFit="1" customWidth="1"/>
    <col min="28" max="16384" width="9" style="3"/>
  </cols>
  <sheetData>
    <row r="1" spans="1:43" ht="20.25" x14ac:dyDescent="0.2">
      <c r="A1" s="4"/>
      <c r="B1" s="4"/>
    </row>
    <row r="2" spans="1:43" ht="20.25" x14ac:dyDescent="0.2">
      <c r="A2" s="4"/>
      <c r="B2" s="4"/>
    </row>
    <row r="3" spans="1:43" ht="20.25" x14ac:dyDescent="0.2">
      <c r="A3" s="4"/>
      <c r="B3" s="4"/>
    </row>
    <row r="8" spans="1:43" x14ac:dyDescent="0.2">
      <c r="L8" s="50">
        <f>L32-M32+SUM('12'!L8:M8)</f>
        <v>-1000</v>
      </c>
      <c r="M8" s="51"/>
      <c r="N8" s="50">
        <f>N32-O32+SUM('12'!N8:O8)</f>
        <v>0</v>
      </c>
      <c r="O8" s="51"/>
      <c r="P8" s="50">
        <f>P32-Q32+SUM('12'!P8:Q8)</f>
        <v>0</v>
      </c>
      <c r="Q8" s="51"/>
      <c r="R8" s="50">
        <f>R32-S32+SUM('12'!R8:S8)</f>
        <v>0</v>
      </c>
      <c r="S8" s="51"/>
      <c r="T8" s="50">
        <f>T32-U32+SUM('12'!T8:U8)</f>
        <v>0</v>
      </c>
      <c r="U8" s="51"/>
      <c r="V8" s="50">
        <f>V32-W32+SUM('12'!V8:W8)</f>
        <v>0</v>
      </c>
      <c r="W8" s="51"/>
      <c r="X8" s="50">
        <f>X32-Y32+SUM('12'!X8:Y8)</f>
        <v>0</v>
      </c>
      <c r="Y8" s="51"/>
      <c r="Z8" s="50">
        <f>Z32-AA32+SUM('12'!Z8:AA8)</f>
        <v>0</v>
      </c>
      <c r="AA8" s="51"/>
      <c r="AB8" s="50">
        <f>AB32-AC32+SUM('12'!AB8:AC8)</f>
        <v>0</v>
      </c>
      <c r="AC8" s="51"/>
      <c r="AD8" s="50">
        <f>AD32-AE32+SUM('12'!AD8:AE8)</f>
        <v>0</v>
      </c>
      <c r="AE8" s="51"/>
      <c r="AF8" s="50">
        <f>AF32-AG32+SUM('12'!AF8:AG8)</f>
        <v>0</v>
      </c>
      <c r="AG8" s="51"/>
      <c r="AH8" s="50">
        <f>AH32-AI32+SUM('12'!AH8:AI8)</f>
        <v>0</v>
      </c>
      <c r="AI8" s="51"/>
      <c r="AJ8" s="50">
        <f>AJ32-AK32+SUM('12'!AJ8:AK8)</f>
        <v>0</v>
      </c>
      <c r="AK8" s="51"/>
      <c r="AL8" s="50">
        <f>AL32-AM32+SUM('12'!AL8:AM8)</f>
        <v>0</v>
      </c>
      <c r="AM8" s="51"/>
      <c r="AN8" s="50">
        <f>AN32-AO32+SUM('12'!AN8:AO8)</f>
        <v>0</v>
      </c>
      <c r="AO8" s="51"/>
      <c r="AP8" s="50">
        <f>AP32-AQ32+SUM('12'!AP8:AQ8)</f>
        <v>0</v>
      </c>
      <c r="AQ8" s="51"/>
    </row>
    <row r="10" spans="1:43" ht="18" x14ac:dyDescent="0.2">
      <c r="A10" s="53" t="s">
        <v>0</v>
      </c>
      <c r="B10" s="53" t="s">
        <v>17</v>
      </c>
      <c r="C10" s="53" t="s">
        <v>18</v>
      </c>
      <c r="D10" s="52" t="s">
        <v>19</v>
      </c>
      <c r="E10" s="52"/>
      <c r="F10" s="52"/>
      <c r="G10" s="53" t="s">
        <v>23</v>
      </c>
      <c r="H10" s="52" t="s">
        <v>24</v>
      </c>
      <c r="I10" s="52"/>
      <c r="J10" s="52" t="s">
        <v>25</v>
      </c>
      <c r="K10" s="52"/>
      <c r="L10" s="52" t="s">
        <v>28</v>
      </c>
      <c r="M10" s="52"/>
      <c r="N10" s="52" t="s">
        <v>3</v>
      </c>
      <c r="O10" s="52"/>
      <c r="P10" s="52" t="s">
        <v>4</v>
      </c>
      <c r="Q10" s="52"/>
      <c r="R10" s="52" t="s">
        <v>5</v>
      </c>
      <c r="S10" s="52"/>
      <c r="T10" s="52" t="s">
        <v>6</v>
      </c>
      <c r="U10" s="52"/>
      <c r="V10" s="52" t="s">
        <v>7</v>
      </c>
      <c r="W10" s="52"/>
      <c r="X10" s="52" t="s">
        <v>29</v>
      </c>
      <c r="Y10" s="52"/>
      <c r="Z10" s="52" t="s">
        <v>30</v>
      </c>
      <c r="AA10" s="52"/>
      <c r="AB10" s="52" t="s">
        <v>10</v>
      </c>
      <c r="AC10" s="52"/>
      <c r="AD10" s="52" t="s">
        <v>11</v>
      </c>
      <c r="AE10" s="52"/>
      <c r="AF10" s="52" t="s">
        <v>12</v>
      </c>
      <c r="AG10" s="52"/>
      <c r="AH10" s="52" t="s">
        <v>31</v>
      </c>
      <c r="AI10" s="52"/>
      <c r="AJ10" s="52" t="s">
        <v>32</v>
      </c>
      <c r="AK10" s="52"/>
      <c r="AL10" s="52" t="s">
        <v>32</v>
      </c>
      <c r="AM10" s="52"/>
      <c r="AN10" s="52" t="s">
        <v>33</v>
      </c>
      <c r="AO10" s="52"/>
      <c r="AP10" s="52" t="s">
        <v>34</v>
      </c>
      <c r="AQ10" s="52"/>
    </row>
    <row r="11" spans="1:43" ht="18" x14ac:dyDescent="0.2">
      <c r="A11" s="54"/>
      <c r="B11" s="54"/>
      <c r="C11" s="54"/>
      <c r="D11" s="16" t="s">
        <v>20</v>
      </c>
      <c r="E11" s="16" t="s">
        <v>21</v>
      </c>
      <c r="F11" s="16" t="s">
        <v>22</v>
      </c>
      <c r="G11" s="54"/>
      <c r="H11" s="16"/>
      <c r="I11" s="16"/>
      <c r="J11" s="16" t="s">
        <v>26</v>
      </c>
      <c r="K11" s="16" t="s">
        <v>27</v>
      </c>
      <c r="L11" s="16" t="s">
        <v>26</v>
      </c>
      <c r="M11" s="16" t="s">
        <v>27</v>
      </c>
      <c r="N11" s="16" t="s">
        <v>26</v>
      </c>
      <c r="O11" s="16" t="s">
        <v>27</v>
      </c>
      <c r="P11" s="16" t="s">
        <v>26</v>
      </c>
      <c r="Q11" s="16" t="s">
        <v>27</v>
      </c>
      <c r="R11" s="16" t="s">
        <v>26</v>
      </c>
      <c r="S11" s="16" t="s">
        <v>27</v>
      </c>
      <c r="T11" s="16" t="s">
        <v>26</v>
      </c>
      <c r="U11" s="16" t="s">
        <v>27</v>
      </c>
      <c r="V11" s="16" t="s">
        <v>26</v>
      </c>
      <c r="W11" s="16" t="s">
        <v>27</v>
      </c>
      <c r="X11" s="16" t="s">
        <v>26</v>
      </c>
      <c r="Y11" s="16" t="s">
        <v>27</v>
      </c>
      <c r="Z11" s="16" t="s">
        <v>26</v>
      </c>
      <c r="AA11" s="16" t="s">
        <v>27</v>
      </c>
      <c r="AB11" s="16" t="s">
        <v>26</v>
      </c>
      <c r="AC11" s="16" t="s">
        <v>27</v>
      </c>
      <c r="AD11" s="16" t="s">
        <v>26</v>
      </c>
      <c r="AE11" s="16" t="s">
        <v>27</v>
      </c>
      <c r="AF11" s="16" t="s">
        <v>26</v>
      </c>
      <c r="AG11" s="16" t="s">
        <v>27</v>
      </c>
      <c r="AH11" s="16" t="s">
        <v>26</v>
      </c>
      <c r="AI11" s="16" t="s">
        <v>27</v>
      </c>
      <c r="AJ11" s="16" t="s">
        <v>26</v>
      </c>
      <c r="AK11" s="16" t="s">
        <v>27</v>
      </c>
      <c r="AL11" s="16" t="s">
        <v>26</v>
      </c>
      <c r="AM11" s="16" t="s">
        <v>27</v>
      </c>
      <c r="AN11" s="16" t="s">
        <v>26</v>
      </c>
      <c r="AO11" s="16" t="s">
        <v>27</v>
      </c>
      <c r="AP11" s="16" t="s">
        <v>26</v>
      </c>
      <c r="AQ11" s="16" t="s">
        <v>27</v>
      </c>
    </row>
    <row r="12" spans="1:43" ht="15.75" x14ac:dyDescent="0.2">
      <c r="A12" s="9">
        <v>1</v>
      </c>
      <c r="B12" s="9"/>
      <c r="C12" s="9"/>
      <c r="D12" s="9"/>
      <c r="E12" s="9"/>
      <c r="F12" s="9"/>
      <c r="G12" s="11" t="str">
        <f>IF(J12&gt;K12,"متزن",IF(J12&lt;K12,"غير متزن",""))</f>
        <v/>
      </c>
      <c r="H12" s="11" t="str">
        <f>IF(J12&gt;K12,"ذياده",IF(J12&lt;K12,"ناقص",""))</f>
        <v/>
      </c>
      <c r="I12" s="13">
        <f>IF(J12&gt;K12,J12-K12,K12-J12)</f>
        <v>0</v>
      </c>
      <c r="J12" s="13">
        <f>SUMIF($L$11:$AQ$11,$L$11,L12:AQ12)</f>
        <v>0</v>
      </c>
      <c r="K12" s="11">
        <f>SUMIF($L$11:$AQ$11,$M$11,L12:AQ12)</f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 ht="15.75" x14ac:dyDescent="0.2">
      <c r="A13" s="9">
        <v>2</v>
      </c>
      <c r="B13" s="9"/>
      <c r="C13" s="9"/>
      <c r="D13" s="9"/>
      <c r="E13" s="9"/>
      <c r="F13" s="9"/>
      <c r="G13" s="11" t="str">
        <f t="shared" ref="G13:G31" si="0">IF(J13&gt;K13,"متزن",IF(J13&lt;K13,"غير متزن",""))</f>
        <v/>
      </c>
      <c r="H13" s="11" t="str">
        <f t="shared" ref="H13:H30" si="1">IF(J13&gt;K13,"ذياده",IF(J13&lt;K13,"ناقص",""))</f>
        <v/>
      </c>
      <c r="I13" s="13">
        <f t="shared" ref="I13:I30" si="2">IF(J13&gt;K13,J13-K13,K13-J13)</f>
        <v>0</v>
      </c>
      <c r="J13" s="13">
        <f t="shared" ref="J13:J31" si="3">SUMIF($L$11:$AQ$11,$L$11,L13:AQ13)</f>
        <v>0</v>
      </c>
      <c r="K13" s="11">
        <f t="shared" ref="K13:K31" si="4">SUMIF($L$11:$AQ$11,$M$11,L13:AQ13)</f>
        <v>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 ht="15.75" x14ac:dyDescent="0.2">
      <c r="A14" s="9">
        <v>3</v>
      </c>
      <c r="B14" s="9"/>
      <c r="C14" s="9"/>
      <c r="D14" s="9"/>
      <c r="E14" s="9"/>
      <c r="F14" s="9"/>
      <c r="G14" s="11" t="str">
        <f t="shared" si="0"/>
        <v/>
      </c>
      <c r="H14" s="11" t="str">
        <f t="shared" si="1"/>
        <v/>
      </c>
      <c r="I14" s="13">
        <f t="shared" si="2"/>
        <v>0</v>
      </c>
      <c r="J14" s="13">
        <f t="shared" si="3"/>
        <v>0</v>
      </c>
      <c r="K14" s="11">
        <f t="shared" si="4"/>
        <v>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 ht="15.75" x14ac:dyDescent="0.2">
      <c r="A15" s="9">
        <v>4</v>
      </c>
      <c r="B15" s="9"/>
      <c r="C15" s="9"/>
      <c r="D15" s="9"/>
      <c r="E15" s="9"/>
      <c r="F15" s="9"/>
      <c r="G15" s="11" t="str">
        <f t="shared" si="0"/>
        <v/>
      </c>
      <c r="H15" s="11" t="str">
        <f t="shared" si="1"/>
        <v/>
      </c>
      <c r="I15" s="13">
        <f t="shared" si="2"/>
        <v>0</v>
      </c>
      <c r="J15" s="13">
        <f t="shared" si="3"/>
        <v>0</v>
      </c>
      <c r="K15" s="11">
        <f t="shared" si="4"/>
        <v>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 ht="15.75" x14ac:dyDescent="0.2">
      <c r="A16" s="9">
        <v>5</v>
      </c>
      <c r="B16" s="9"/>
      <c r="C16" s="9"/>
      <c r="D16" s="9"/>
      <c r="E16" s="9"/>
      <c r="F16" s="9"/>
      <c r="G16" s="11" t="str">
        <f t="shared" si="0"/>
        <v/>
      </c>
      <c r="H16" s="11" t="str">
        <f t="shared" si="1"/>
        <v/>
      </c>
      <c r="I16" s="13">
        <f t="shared" si="2"/>
        <v>0</v>
      </c>
      <c r="J16" s="13">
        <f t="shared" si="3"/>
        <v>0</v>
      </c>
      <c r="K16" s="11">
        <f t="shared" si="4"/>
        <v>0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ht="15.75" x14ac:dyDescent="0.2">
      <c r="A17" s="9">
        <v>6</v>
      </c>
      <c r="B17" s="9"/>
      <c r="C17" s="9"/>
      <c r="D17" s="9"/>
      <c r="E17" s="9"/>
      <c r="F17" s="9"/>
      <c r="G17" s="11" t="str">
        <f t="shared" si="0"/>
        <v/>
      </c>
      <c r="H17" s="11" t="str">
        <f t="shared" si="1"/>
        <v/>
      </c>
      <c r="I17" s="13">
        <f t="shared" si="2"/>
        <v>0</v>
      </c>
      <c r="J17" s="13">
        <f t="shared" si="3"/>
        <v>0</v>
      </c>
      <c r="K17" s="11">
        <f t="shared" si="4"/>
        <v>0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 ht="15.75" x14ac:dyDescent="0.2">
      <c r="A18" s="9">
        <v>7</v>
      </c>
      <c r="B18" s="9"/>
      <c r="C18" s="9"/>
      <c r="D18" s="9"/>
      <c r="E18" s="9"/>
      <c r="F18" s="9"/>
      <c r="G18" s="11" t="str">
        <f t="shared" si="0"/>
        <v/>
      </c>
      <c r="H18" s="11" t="str">
        <f t="shared" si="1"/>
        <v/>
      </c>
      <c r="I18" s="13">
        <f t="shared" si="2"/>
        <v>0</v>
      </c>
      <c r="J18" s="13">
        <f t="shared" si="3"/>
        <v>0</v>
      </c>
      <c r="K18" s="11">
        <f t="shared" si="4"/>
        <v>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 ht="15.75" x14ac:dyDescent="0.2">
      <c r="A19" s="9">
        <v>8</v>
      </c>
      <c r="B19" s="9"/>
      <c r="C19" s="9"/>
      <c r="D19" s="9"/>
      <c r="E19" s="9"/>
      <c r="F19" s="9"/>
      <c r="G19" s="11" t="str">
        <f t="shared" si="0"/>
        <v/>
      </c>
      <c r="H19" s="11" t="str">
        <f t="shared" si="1"/>
        <v/>
      </c>
      <c r="I19" s="13">
        <f t="shared" si="2"/>
        <v>0</v>
      </c>
      <c r="J19" s="13">
        <f t="shared" si="3"/>
        <v>0</v>
      </c>
      <c r="K19" s="11">
        <f t="shared" si="4"/>
        <v>0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 ht="15.75" x14ac:dyDescent="0.2">
      <c r="A20" s="9">
        <v>9</v>
      </c>
      <c r="B20" s="9"/>
      <c r="C20" s="9"/>
      <c r="D20" s="9"/>
      <c r="E20" s="9"/>
      <c r="F20" s="9"/>
      <c r="G20" s="11" t="str">
        <f t="shared" si="0"/>
        <v/>
      </c>
      <c r="H20" s="11" t="str">
        <f t="shared" si="1"/>
        <v/>
      </c>
      <c r="I20" s="13">
        <f t="shared" si="2"/>
        <v>0</v>
      </c>
      <c r="J20" s="13">
        <f t="shared" si="3"/>
        <v>0</v>
      </c>
      <c r="K20" s="11">
        <f t="shared" si="4"/>
        <v>0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 ht="15.75" x14ac:dyDescent="0.2">
      <c r="A21" s="9">
        <v>10</v>
      </c>
      <c r="B21" s="9"/>
      <c r="C21" s="9"/>
      <c r="D21" s="9"/>
      <c r="E21" s="9"/>
      <c r="F21" s="9"/>
      <c r="G21" s="11" t="str">
        <f t="shared" si="0"/>
        <v/>
      </c>
      <c r="H21" s="11" t="str">
        <f t="shared" si="1"/>
        <v/>
      </c>
      <c r="I21" s="13">
        <f t="shared" si="2"/>
        <v>0</v>
      </c>
      <c r="J21" s="13">
        <f t="shared" si="3"/>
        <v>0</v>
      </c>
      <c r="K21" s="11">
        <f t="shared" si="4"/>
        <v>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 ht="15.75" x14ac:dyDescent="0.2">
      <c r="A22" s="9">
        <v>11</v>
      </c>
      <c r="B22" s="9"/>
      <c r="C22" s="9"/>
      <c r="D22" s="9"/>
      <c r="E22" s="9"/>
      <c r="F22" s="9"/>
      <c r="G22" s="11" t="str">
        <f t="shared" si="0"/>
        <v/>
      </c>
      <c r="H22" s="11" t="str">
        <f t="shared" si="1"/>
        <v/>
      </c>
      <c r="I22" s="13">
        <f t="shared" si="2"/>
        <v>0</v>
      </c>
      <c r="J22" s="13">
        <f t="shared" si="3"/>
        <v>0</v>
      </c>
      <c r="K22" s="11">
        <f t="shared" si="4"/>
        <v>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 ht="15.75" x14ac:dyDescent="0.2">
      <c r="A23" s="9">
        <v>12</v>
      </c>
      <c r="B23" s="9"/>
      <c r="C23" s="9"/>
      <c r="D23" s="9"/>
      <c r="E23" s="9"/>
      <c r="F23" s="9"/>
      <c r="G23" s="11" t="str">
        <f t="shared" si="0"/>
        <v/>
      </c>
      <c r="H23" s="11" t="str">
        <f t="shared" si="1"/>
        <v/>
      </c>
      <c r="I23" s="13">
        <f t="shared" si="2"/>
        <v>0</v>
      </c>
      <c r="J23" s="13">
        <f t="shared" si="3"/>
        <v>0</v>
      </c>
      <c r="K23" s="11">
        <f t="shared" si="4"/>
        <v>0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 ht="15.75" x14ac:dyDescent="0.2">
      <c r="A24" s="9">
        <v>13</v>
      </c>
      <c r="B24" s="9"/>
      <c r="C24" s="9"/>
      <c r="D24" s="9"/>
      <c r="E24" s="9"/>
      <c r="F24" s="9"/>
      <c r="G24" s="11" t="str">
        <f t="shared" si="0"/>
        <v/>
      </c>
      <c r="H24" s="11" t="str">
        <f t="shared" si="1"/>
        <v/>
      </c>
      <c r="I24" s="13">
        <f t="shared" si="2"/>
        <v>0</v>
      </c>
      <c r="J24" s="13">
        <f t="shared" si="3"/>
        <v>0</v>
      </c>
      <c r="K24" s="11">
        <f t="shared" si="4"/>
        <v>0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 ht="15.75" x14ac:dyDescent="0.2">
      <c r="A25" s="9">
        <v>14</v>
      </c>
      <c r="B25" s="9"/>
      <c r="C25" s="9"/>
      <c r="D25" s="9"/>
      <c r="E25" s="9"/>
      <c r="F25" s="9"/>
      <c r="G25" s="11" t="str">
        <f t="shared" si="0"/>
        <v/>
      </c>
      <c r="H25" s="11" t="str">
        <f t="shared" si="1"/>
        <v/>
      </c>
      <c r="I25" s="13">
        <f t="shared" si="2"/>
        <v>0</v>
      </c>
      <c r="J25" s="13">
        <f t="shared" si="3"/>
        <v>0</v>
      </c>
      <c r="K25" s="11">
        <f t="shared" si="4"/>
        <v>0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 ht="15.75" x14ac:dyDescent="0.2">
      <c r="A26" s="9">
        <v>15</v>
      </c>
      <c r="B26" s="9"/>
      <c r="C26" s="9"/>
      <c r="D26" s="9"/>
      <c r="E26" s="9"/>
      <c r="F26" s="9"/>
      <c r="G26" s="11" t="str">
        <f t="shared" si="0"/>
        <v/>
      </c>
      <c r="H26" s="11" t="str">
        <f t="shared" si="1"/>
        <v/>
      </c>
      <c r="I26" s="13">
        <f t="shared" si="2"/>
        <v>0</v>
      </c>
      <c r="J26" s="13">
        <f t="shared" si="3"/>
        <v>0</v>
      </c>
      <c r="K26" s="11">
        <f t="shared" si="4"/>
        <v>0</v>
      </c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 ht="15.75" x14ac:dyDescent="0.2">
      <c r="A27" s="9">
        <v>16</v>
      </c>
      <c r="B27" s="9"/>
      <c r="C27" s="9"/>
      <c r="D27" s="9"/>
      <c r="E27" s="9"/>
      <c r="F27" s="9"/>
      <c r="G27" s="11" t="str">
        <f t="shared" si="0"/>
        <v/>
      </c>
      <c r="H27" s="11" t="str">
        <f t="shared" si="1"/>
        <v/>
      </c>
      <c r="I27" s="13">
        <f t="shared" si="2"/>
        <v>0</v>
      </c>
      <c r="J27" s="13">
        <f t="shared" si="3"/>
        <v>0</v>
      </c>
      <c r="K27" s="11">
        <f t="shared" si="4"/>
        <v>0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 ht="15.75" x14ac:dyDescent="0.2">
      <c r="A28" s="9">
        <v>17</v>
      </c>
      <c r="B28" s="9"/>
      <c r="C28" s="9"/>
      <c r="D28" s="9"/>
      <c r="E28" s="9"/>
      <c r="F28" s="9"/>
      <c r="G28" s="11" t="str">
        <f t="shared" si="0"/>
        <v/>
      </c>
      <c r="H28" s="11" t="str">
        <f t="shared" si="1"/>
        <v/>
      </c>
      <c r="I28" s="13">
        <f t="shared" si="2"/>
        <v>0</v>
      </c>
      <c r="J28" s="13">
        <f t="shared" si="3"/>
        <v>0</v>
      </c>
      <c r="K28" s="11">
        <f t="shared" si="4"/>
        <v>0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 ht="15.75" x14ac:dyDescent="0.2">
      <c r="A29" s="9">
        <v>18</v>
      </c>
      <c r="B29" s="9"/>
      <c r="C29" s="9"/>
      <c r="D29" s="9"/>
      <c r="E29" s="9"/>
      <c r="F29" s="9"/>
      <c r="G29" s="11" t="str">
        <f t="shared" si="0"/>
        <v/>
      </c>
      <c r="H29" s="11" t="str">
        <f t="shared" si="1"/>
        <v/>
      </c>
      <c r="I29" s="13">
        <f t="shared" si="2"/>
        <v>0</v>
      </c>
      <c r="J29" s="13">
        <f t="shared" si="3"/>
        <v>0</v>
      </c>
      <c r="K29" s="11">
        <f t="shared" si="4"/>
        <v>0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 spans="1:43" ht="15.75" x14ac:dyDescent="0.2">
      <c r="A30" s="9">
        <v>19</v>
      </c>
      <c r="B30" s="9"/>
      <c r="C30" s="9"/>
      <c r="D30" s="9"/>
      <c r="E30" s="9"/>
      <c r="F30" s="9"/>
      <c r="G30" s="11" t="str">
        <f t="shared" si="0"/>
        <v/>
      </c>
      <c r="H30" s="11" t="str">
        <f t="shared" si="1"/>
        <v/>
      </c>
      <c r="I30" s="13">
        <f t="shared" si="2"/>
        <v>0</v>
      </c>
      <c r="J30" s="13">
        <f t="shared" si="3"/>
        <v>0</v>
      </c>
      <c r="K30" s="11">
        <f t="shared" si="4"/>
        <v>0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 spans="1:43" ht="15.75" x14ac:dyDescent="0.2">
      <c r="A31" s="9">
        <v>20</v>
      </c>
      <c r="B31" s="9"/>
      <c r="C31" s="9"/>
      <c r="D31" s="9"/>
      <c r="E31" s="9"/>
      <c r="F31" s="9"/>
      <c r="G31" s="11" t="str">
        <f t="shared" si="0"/>
        <v/>
      </c>
      <c r="H31" s="11" t="str">
        <f>IF(J31&gt;K31,"ذياده",IF(J31&lt;K31,"ناقص",""))</f>
        <v/>
      </c>
      <c r="I31" s="13">
        <f>IF(J31&gt;K31,J31-K31,K31-J31)</f>
        <v>0</v>
      </c>
      <c r="J31" s="13">
        <f t="shared" si="3"/>
        <v>0</v>
      </c>
      <c r="K31" s="11">
        <f t="shared" si="4"/>
        <v>0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 spans="1:43" ht="24" customHeight="1" x14ac:dyDescent="0.2">
      <c r="A32" s="45" t="s">
        <v>25</v>
      </c>
      <c r="B32" s="46"/>
      <c r="C32" s="46"/>
      <c r="D32" s="46"/>
      <c r="E32" s="46"/>
      <c r="F32" s="47"/>
      <c r="G32" s="16"/>
      <c r="H32" s="16" t="str">
        <f>IF(J32&gt;K32,"ذياده",IF(J32&lt;K32,"ناقص",""))</f>
        <v/>
      </c>
      <c r="I32" s="16"/>
      <c r="J32" s="14">
        <f>SUM(J12:J31)</f>
        <v>0</v>
      </c>
      <c r="K32" s="14">
        <f t="shared" ref="K32:AQ32" si="5">SUM(K12:K31)</f>
        <v>0</v>
      </c>
      <c r="L32" s="14">
        <f t="shared" si="5"/>
        <v>0</v>
      </c>
      <c r="M32" s="14">
        <f t="shared" si="5"/>
        <v>0</v>
      </c>
      <c r="N32" s="14">
        <f t="shared" si="5"/>
        <v>0</v>
      </c>
      <c r="O32" s="14">
        <f t="shared" si="5"/>
        <v>0</v>
      </c>
      <c r="P32" s="14">
        <f t="shared" si="5"/>
        <v>0</v>
      </c>
      <c r="Q32" s="14">
        <f t="shared" si="5"/>
        <v>0</v>
      </c>
      <c r="R32" s="14">
        <f t="shared" si="5"/>
        <v>0</v>
      </c>
      <c r="S32" s="14">
        <f t="shared" si="5"/>
        <v>0</v>
      </c>
      <c r="T32" s="14">
        <f t="shared" si="5"/>
        <v>0</v>
      </c>
      <c r="U32" s="14">
        <f t="shared" si="5"/>
        <v>0</v>
      </c>
      <c r="V32" s="14">
        <f t="shared" si="5"/>
        <v>0</v>
      </c>
      <c r="W32" s="14">
        <f t="shared" si="5"/>
        <v>0</v>
      </c>
      <c r="X32" s="14">
        <f t="shared" si="5"/>
        <v>0</v>
      </c>
      <c r="Y32" s="14">
        <f t="shared" si="5"/>
        <v>0</v>
      </c>
      <c r="Z32" s="14">
        <f t="shared" si="5"/>
        <v>0</v>
      </c>
      <c r="AA32" s="14">
        <f t="shared" si="5"/>
        <v>0</v>
      </c>
      <c r="AB32" s="14">
        <f t="shared" si="5"/>
        <v>0</v>
      </c>
      <c r="AC32" s="14">
        <f t="shared" si="5"/>
        <v>0</v>
      </c>
      <c r="AD32" s="14">
        <f t="shared" si="5"/>
        <v>0</v>
      </c>
      <c r="AE32" s="14">
        <f t="shared" si="5"/>
        <v>0</v>
      </c>
      <c r="AF32" s="14">
        <f t="shared" si="5"/>
        <v>0</v>
      </c>
      <c r="AG32" s="14">
        <f t="shared" si="5"/>
        <v>0</v>
      </c>
      <c r="AH32" s="14">
        <f t="shared" si="5"/>
        <v>0</v>
      </c>
      <c r="AI32" s="14">
        <f t="shared" si="5"/>
        <v>0</v>
      </c>
      <c r="AJ32" s="14">
        <f t="shared" si="5"/>
        <v>0</v>
      </c>
      <c r="AK32" s="14">
        <f t="shared" si="5"/>
        <v>0</v>
      </c>
      <c r="AL32" s="14">
        <f t="shared" si="5"/>
        <v>0</v>
      </c>
      <c r="AM32" s="14">
        <f t="shared" si="5"/>
        <v>0</v>
      </c>
      <c r="AN32" s="14">
        <f t="shared" si="5"/>
        <v>0</v>
      </c>
      <c r="AO32" s="14">
        <f t="shared" si="5"/>
        <v>0</v>
      </c>
      <c r="AP32" s="14">
        <f t="shared" si="5"/>
        <v>0</v>
      </c>
      <c r="AQ32" s="14">
        <f t="shared" si="5"/>
        <v>0</v>
      </c>
    </row>
  </sheetData>
  <mergeCells count="40">
    <mergeCell ref="AH10:AI10"/>
    <mergeCell ref="AJ10:AK10"/>
    <mergeCell ref="AL10:AM10"/>
    <mergeCell ref="AN10:AO10"/>
    <mergeCell ref="AP10:AQ10"/>
    <mergeCell ref="A32:F32"/>
    <mergeCell ref="V10:W10"/>
    <mergeCell ref="X10:Y10"/>
    <mergeCell ref="Z10:AA10"/>
    <mergeCell ref="AB10:AC10"/>
    <mergeCell ref="AD10:AE10"/>
    <mergeCell ref="AF10:AG10"/>
    <mergeCell ref="J10:K10"/>
    <mergeCell ref="L10:M10"/>
    <mergeCell ref="N10:O10"/>
    <mergeCell ref="P10:Q10"/>
    <mergeCell ref="R10:S10"/>
    <mergeCell ref="T10:U10"/>
    <mergeCell ref="AJ8:AK8"/>
    <mergeCell ref="AL8:AM8"/>
    <mergeCell ref="AN8:AO8"/>
    <mergeCell ref="AP8:AQ8"/>
    <mergeCell ref="A10:A11"/>
    <mergeCell ref="B10:B11"/>
    <mergeCell ref="C10:C11"/>
    <mergeCell ref="D10:F10"/>
    <mergeCell ref="G10:G11"/>
    <mergeCell ref="H10:I10"/>
    <mergeCell ref="X8:Y8"/>
    <mergeCell ref="Z8:AA8"/>
    <mergeCell ref="AB8:AC8"/>
    <mergeCell ref="AD8:AE8"/>
    <mergeCell ref="AF8:AG8"/>
    <mergeCell ref="AH8:AI8"/>
    <mergeCell ref="V8:W8"/>
    <mergeCell ref="L8:M8"/>
    <mergeCell ref="N8:O8"/>
    <mergeCell ref="P8:Q8"/>
    <mergeCell ref="R8:S8"/>
    <mergeCell ref="T8:U8"/>
  </mergeCells>
  <conditionalFormatting sqref="H12:H31">
    <cfRule type="expression" dxfId="2" priority="9">
      <formula>J12&lt;=K12</formula>
    </cfRule>
    <cfRule type="expression" dxfId="1" priority="10">
      <formula>J12&gt;K12</formula>
    </cfRule>
  </conditionalFormatting>
  <conditionalFormatting sqref="H12:H31">
    <cfRule type="expression" dxfId="0" priority="8">
      <formula>J12=K12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Views>
    <sheetView rightToLeft="1" topLeftCell="I1" workbookViewId="0">
      <selection activeCell="X13" sqref="X13:X24"/>
    </sheetView>
  </sheetViews>
  <sheetFormatPr defaultRowHeight="14.25" x14ac:dyDescent="0.2"/>
  <cols>
    <col min="1" max="1" width="0.875" style="20" customWidth="1"/>
    <col min="2" max="2" width="19" style="20" customWidth="1"/>
    <col min="3" max="4" width="15.625" style="20" bestFit="1" customWidth="1"/>
    <col min="5" max="5" width="13.75" style="20" bestFit="1" customWidth="1"/>
    <col min="6" max="7" width="12.25" style="20" bestFit="1" customWidth="1"/>
    <col min="8" max="8" width="9.375" style="20" bestFit="1" customWidth="1"/>
    <col min="9" max="9" width="10.75" style="20" bestFit="1" customWidth="1"/>
    <col min="10" max="12" width="9.375" style="20" bestFit="1" customWidth="1"/>
    <col min="13" max="13" width="10.75" style="20" bestFit="1" customWidth="1"/>
    <col min="14" max="16" width="9.375" style="20" bestFit="1" customWidth="1"/>
    <col min="17" max="17" width="15.625" style="20" bestFit="1" customWidth="1"/>
    <col min="18" max="19" width="9.375" style="20" bestFit="1" customWidth="1"/>
    <col min="20" max="20" width="15.625" style="20" bestFit="1" customWidth="1"/>
    <col min="21" max="36" width="9.375" style="20" bestFit="1" customWidth="1"/>
    <col min="37" max="16384" width="9" style="20"/>
  </cols>
  <sheetData>
    <row r="1" spans="1:36" ht="20.25" x14ac:dyDescent="0.2">
      <c r="A1" s="19"/>
      <c r="B1" s="19"/>
    </row>
    <row r="2" spans="1:36" ht="20.25" x14ac:dyDescent="0.2">
      <c r="A2" s="19"/>
      <c r="B2" s="19"/>
    </row>
    <row r="3" spans="1:36" ht="20.25" x14ac:dyDescent="0.2">
      <c r="A3" s="19"/>
      <c r="B3" s="19"/>
    </row>
    <row r="10" spans="1:36" ht="18" x14ac:dyDescent="0.2">
      <c r="A10" s="21"/>
      <c r="B10" s="55" t="s">
        <v>35</v>
      </c>
      <c r="C10" s="55" t="str">
        <f>'ارصده افتتاحيه'!J10</f>
        <v>الاجمالى</v>
      </c>
      <c r="D10" s="55"/>
      <c r="E10" s="55" t="str">
        <f>'ارصده افتتاحيه'!L10</f>
        <v>النقدية</v>
      </c>
      <c r="F10" s="55"/>
      <c r="G10" s="55" t="str">
        <f>'ارصده افتتاحيه'!N10</f>
        <v>البنك</v>
      </c>
      <c r="H10" s="55"/>
      <c r="I10" s="55" t="str">
        <f>'ارصده افتتاحيه'!P10</f>
        <v>المبيعات</v>
      </c>
      <c r="J10" s="55"/>
      <c r="K10" s="55" t="str">
        <f>'ارصده افتتاحيه'!R10</f>
        <v>المشتريات</v>
      </c>
      <c r="L10" s="55"/>
      <c r="M10" s="55" t="str">
        <f>'ارصده افتتاحيه'!T10</f>
        <v>العملاء</v>
      </c>
      <c r="N10" s="55"/>
      <c r="O10" s="55" t="str">
        <f>'ارصده افتتاحيه'!V10</f>
        <v>الموردون</v>
      </c>
      <c r="P10" s="55"/>
      <c r="Q10" s="55" t="str">
        <f>'ارصده افتتاحيه'!X10</f>
        <v>جارى الشركات</v>
      </c>
      <c r="R10" s="55"/>
      <c r="S10" s="55" t="str">
        <f>'ارصده افتتاحيه'!Z10</f>
        <v>رأس المال</v>
      </c>
      <c r="T10" s="55"/>
      <c r="U10" s="55" t="str">
        <f>'ارصده افتتاحيه'!AB10</f>
        <v>المخزون</v>
      </c>
      <c r="V10" s="55"/>
      <c r="W10" s="55" t="str">
        <f>'ارصده افتتاحيه'!AD10</f>
        <v>الايرادات</v>
      </c>
      <c r="X10" s="55"/>
      <c r="Y10" s="55" t="str">
        <f>'ارصده افتتاحيه'!AF10</f>
        <v>المصروفات</v>
      </c>
      <c r="Z10" s="55"/>
      <c r="AA10" s="55" t="str">
        <f>'ارصده افتتاحيه'!AH10</f>
        <v>ارصده مدينة</v>
      </c>
      <c r="AB10" s="55"/>
      <c r="AC10" s="55" t="str">
        <f>'ارصده افتتاحيه'!AJ10</f>
        <v>ارصده دائنة</v>
      </c>
      <c r="AD10" s="55"/>
      <c r="AE10" s="55" t="str">
        <f>'ارصده افتتاحيه'!AL10</f>
        <v>ارصده دائنة</v>
      </c>
      <c r="AF10" s="55"/>
      <c r="AG10" s="55" t="str">
        <f>'ارصده افتتاحيه'!AN10</f>
        <v>ارباح مرحله</v>
      </c>
      <c r="AH10" s="55"/>
      <c r="AI10" s="55" t="str">
        <f>'ارصده افتتاحيه'!AP10</f>
        <v>القيمه المضافة</v>
      </c>
      <c r="AJ10" s="55"/>
    </row>
    <row r="11" spans="1:36" ht="18" x14ac:dyDescent="0.2">
      <c r="A11" s="21"/>
      <c r="B11" s="55"/>
      <c r="C11" s="22" t="str">
        <f>'ارصده افتتاحيه'!J11</f>
        <v xml:space="preserve">مدين </v>
      </c>
      <c r="D11" s="22" t="str">
        <f>'ارصده افتتاحيه'!K11</f>
        <v>دائن</v>
      </c>
      <c r="E11" s="22" t="str">
        <f>'ارصده افتتاحيه'!L11</f>
        <v xml:space="preserve">مدين </v>
      </c>
      <c r="F11" s="22" t="str">
        <f>'ارصده افتتاحيه'!M11</f>
        <v>دائن</v>
      </c>
      <c r="G11" s="22" t="str">
        <f>'ارصده افتتاحيه'!N11</f>
        <v xml:space="preserve">مدين </v>
      </c>
      <c r="H11" s="22" t="str">
        <f>'ارصده افتتاحيه'!O11</f>
        <v>دائن</v>
      </c>
      <c r="I11" s="22" t="str">
        <f>'ارصده افتتاحيه'!P11</f>
        <v xml:space="preserve">مدين </v>
      </c>
      <c r="J11" s="22" t="str">
        <f>'ارصده افتتاحيه'!Q11</f>
        <v>دائن</v>
      </c>
      <c r="K11" s="22" t="str">
        <f>'ارصده افتتاحيه'!R11</f>
        <v xml:space="preserve">مدين </v>
      </c>
      <c r="L11" s="22" t="str">
        <f>'ارصده افتتاحيه'!S11</f>
        <v>دائن</v>
      </c>
      <c r="M11" s="22" t="str">
        <f>'ارصده افتتاحيه'!T11</f>
        <v xml:space="preserve">مدين </v>
      </c>
      <c r="N11" s="22" t="str">
        <f>'ارصده افتتاحيه'!U11</f>
        <v>دائن</v>
      </c>
      <c r="O11" s="22" t="str">
        <f>'ارصده افتتاحيه'!V11</f>
        <v xml:space="preserve">مدين </v>
      </c>
      <c r="P11" s="22" t="str">
        <f>'ارصده افتتاحيه'!W11</f>
        <v>دائن</v>
      </c>
      <c r="Q11" s="22" t="str">
        <f>'ارصده افتتاحيه'!X11</f>
        <v xml:space="preserve">مدين </v>
      </c>
      <c r="R11" s="22" t="str">
        <f>'ارصده افتتاحيه'!Y11</f>
        <v>دائن</v>
      </c>
      <c r="S11" s="22" t="str">
        <f>'ارصده افتتاحيه'!Z11</f>
        <v xml:space="preserve">مدين </v>
      </c>
      <c r="T11" s="22" t="str">
        <f>'ارصده افتتاحيه'!AA11</f>
        <v>دائن</v>
      </c>
      <c r="U11" s="22" t="str">
        <f>'ارصده افتتاحيه'!AB11</f>
        <v xml:space="preserve">مدين </v>
      </c>
      <c r="V11" s="22" t="str">
        <f>'ارصده افتتاحيه'!AC11</f>
        <v>دائن</v>
      </c>
      <c r="W11" s="22" t="str">
        <f>'ارصده افتتاحيه'!AD11</f>
        <v xml:space="preserve">مدين </v>
      </c>
      <c r="X11" s="22" t="str">
        <f>'ارصده افتتاحيه'!AE11</f>
        <v>دائن</v>
      </c>
      <c r="Y11" s="22" t="str">
        <f>'ارصده افتتاحيه'!AF11</f>
        <v xml:space="preserve">مدين </v>
      </c>
      <c r="Z11" s="22" t="str">
        <f>'ارصده افتتاحيه'!AG11</f>
        <v>دائن</v>
      </c>
      <c r="AA11" s="22" t="str">
        <f>'ارصده افتتاحيه'!AH11</f>
        <v xml:space="preserve">مدين </v>
      </c>
      <c r="AB11" s="22" t="str">
        <f>'ارصده افتتاحيه'!AI11</f>
        <v>دائن</v>
      </c>
      <c r="AC11" s="22" t="str">
        <f>'ارصده افتتاحيه'!AJ11</f>
        <v xml:space="preserve">مدين </v>
      </c>
      <c r="AD11" s="22" t="str">
        <f>'ارصده افتتاحيه'!AK11</f>
        <v>دائن</v>
      </c>
      <c r="AE11" s="22" t="str">
        <f>'ارصده افتتاحيه'!AL11</f>
        <v xml:space="preserve">مدين </v>
      </c>
      <c r="AF11" s="22" t="str">
        <f>'ارصده افتتاحيه'!AM11</f>
        <v>دائن</v>
      </c>
      <c r="AG11" s="22" t="str">
        <f>'ارصده افتتاحيه'!AN11</f>
        <v xml:space="preserve">مدين </v>
      </c>
      <c r="AH11" s="22" t="str">
        <f>'ارصده افتتاحيه'!AO11</f>
        <v>دائن</v>
      </c>
      <c r="AI11" s="22" t="str">
        <f>'ارصده افتتاحيه'!AP11</f>
        <v xml:space="preserve">مدين </v>
      </c>
      <c r="AJ11" s="22" t="str">
        <f>'ارصده افتتاحيه'!AQ11</f>
        <v>دائن</v>
      </c>
    </row>
    <row r="12" spans="1:36" ht="18" x14ac:dyDescent="0.2">
      <c r="A12" s="21"/>
      <c r="B12" s="23" t="s">
        <v>36</v>
      </c>
      <c r="C12" s="41">
        <f>'ارصده افتتاحيه'!J32</f>
        <v>0</v>
      </c>
      <c r="D12" s="41">
        <f>'ارصده افتتاحيه'!K32</f>
        <v>0</v>
      </c>
      <c r="E12" s="41">
        <f>'ارصده افتتاحيه'!L32</f>
        <v>0</v>
      </c>
      <c r="F12" s="41">
        <f>'ارصده افتتاحيه'!M32</f>
        <v>0</v>
      </c>
      <c r="G12" s="41">
        <f>'ارصده افتتاحيه'!N32</f>
        <v>0</v>
      </c>
      <c r="H12" s="41">
        <f>'ارصده افتتاحيه'!O32</f>
        <v>0</v>
      </c>
      <c r="I12" s="41">
        <f>'ارصده افتتاحيه'!P32</f>
        <v>0</v>
      </c>
      <c r="J12" s="41">
        <f>'ارصده افتتاحيه'!Q32</f>
        <v>0</v>
      </c>
      <c r="K12" s="41">
        <f>'ارصده افتتاحيه'!R32</f>
        <v>0</v>
      </c>
      <c r="L12" s="41">
        <f>'ارصده افتتاحيه'!S32</f>
        <v>0</v>
      </c>
      <c r="M12" s="41">
        <f>'ارصده افتتاحيه'!T32</f>
        <v>0</v>
      </c>
      <c r="N12" s="41">
        <f>'ارصده افتتاحيه'!U32</f>
        <v>0</v>
      </c>
      <c r="O12" s="41">
        <f>'ارصده افتتاحيه'!V32</f>
        <v>0</v>
      </c>
      <c r="P12" s="41">
        <f>'ارصده افتتاحيه'!W32</f>
        <v>0</v>
      </c>
      <c r="Q12" s="41">
        <f>'ارصده افتتاحيه'!X32</f>
        <v>0</v>
      </c>
      <c r="R12" s="41">
        <f>'ارصده افتتاحيه'!Y32</f>
        <v>0</v>
      </c>
      <c r="S12" s="41">
        <f>'ارصده افتتاحيه'!Z32</f>
        <v>0</v>
      </c>
      <c r="T12" s="41">
        <f>'ارصده افتتاحيه'!AA32</f>
        <v>0</v>
      </c>
      <c r="U12" s="41">
        <f>'ارصده افتتاحيه'!AB32</f>
        <v>0</v>
      </c>
      <c r="V12" s="41">
        <f>'ارصده افتتاحيه'!AC32</f>
        <v>0</v>
      </c>
      <c r="W12" s="41">
        <f>'ارصده افتتاحيه'!AD32</f>
        <v>0</v>
      </c>
      <c r="X12" s="41">
        <f>'ارصده افتتاحيه'!AE32</f>
        <v>0</v>
      </c>
      <c r="Y12" s="41">
        <f>'ارصده افتتاحيه'!AF32</f>
        <v>0</v>
      </c>
      <c r="Z12" s="41">
        <f>'ارصده افتتاحيه'!AG32</f>
        <v>0</v>
      </c>
      <c r="AA12" s="41">
        <f>'ارصده افتتاحيه'!AH32</f>
        <v>0</v>
      </c>
      <c r="AB12" s="41">
        <f>'ارصده افتتاحيه'!AI32</f>
        <v>0</v>
      </c>
      <c r="AC12" s="41">
        <f>'ارصده افتتاحيه'!AJ32</f>
        <v>0</v>
      </c>
      <c r="AD12" s="41">
        <f>'ارصده افتتاحيه'!AK32</f>
        <v>0</v>
      </c>
      <c r="AE12" s="41">
        <f>'ارصده افتتاحيه'!AL32</f>
        <v>0</v>
      </c>
      <c r="AF12" s="41">
        <f>'ارصده افتتاحيه'!AM32</f>
        <v>0</v>
      </c>
      <c r="AG12" s="41">
        <f>'ارصده افتتاحيه'!AN32</f>
        <v>0</v>
      </c>
      <c r="AH12" s="41">
        <f>'ارصده افتتاحيه'!AO32</f>
        <v>0</v>
      </c>
      <c r="AI12" s="41">
        <f>'ارصده افتتاحيه'!AP32</f>
        <v>0</v>
      </c>
      <c r="AJ12" s="41">
        <f>'ارصده افتتاحيه'!AQ32</f>
        <v>0</v>
      </c>
    </row>
    <row r="13" spans="1:36" ht="18" x14ac:dyDescent="0.2">
      <c r="A13" s="21"/>
      <c r="B13" s="23" t="s">
        <v>37</v>
      </c>
      <c r="C13" s="41">
        <f>'1'!J32</f>
        <v>0</v>
      </c>
      <c r="D13" s="41">
        <f>'1'!K32</f>
        <v>0</v>
      </c>
      <c r="E13" s="41">
        <f>'1'!L32</f>
        <v>0</v>
      </c>
      <c r="F13" s="41">
        <f>'1'!M32</f>
        <v>0</v>
      </c>
      <c r="G13" s="41">
        <f>'1'!N32</f>
        <v>0</v>
      </c>
      <c r="H13" s="41">
        <f>'1'!O32</f>
        <v>0</v>
      </c>
      <c r="I13" s="41">
        <f>'1'!P32</f>
        <v>0</v>
      </c>
      <c r="J13" s="41">
        <f>'1'!Q32</f>
        <v>0</v>
      </c>
      <c r="K13" s="41">
        <f>'1'!R32</f>
        <v>0</v>
      </c>
      <c r="L13" s="41">
        <f>'1'!S32</f>
        <v>0</v>
      </c>
      <c r="M13" s="41">
        <f>'1'!T32</f>
        <v>0</v>
      </c>
      <c r="N13" s="41">
        <f>'1'!U32</f>
        <v>0</v>
      </c>
      <c r="O13" s="41">
        <f>'1'!V32</f>
        <v>0</v>
      </c>
      <c r="P13" s="41">
        <f>'1'!W32</f>
        <v>0</v>
      </c>
      <c r="Q13" s="41">
        <f>'1'!X32</f>
        <v>0</v>
      </c>
      <c r="R13" s="41">
        <f>'1'!Y32</f>
        <v>0</v>
      </c>
      <c r="S13" s="41">
        <f>'1'!Z32</f>
        <v>0</v>
      </c>
      <c r="T13" s="41">
        <f>'1'!AA32</f>
        <v>0</v>
      </c>
      <c r="U13" s="41">
        <f>'1'!AB32</f>
        <v>0</v>
      </c>
      <c r="V13" s="41">
        <f>'1'!AC32</f>
        <v>0</v>
      </c>
      <c r="W13" s="41">
        <f>'1'!AD32</f>
        <v>0</v>
      </c>
      <c r="X13" s="41">
        <f>'1'!AE32</f>
        <v>0</v>
      </c>
      <c r="Y13" s="41">
        <f>'1'!AF32</f>
        <v>0</v>
      </c>
      <c r="Z13" s="41">
        <f>'1'!AG32</f>
        <v>0</v>
      </c>
      <c r="AA13" s="41">
        <f>'1'!AH32</f>
        <v>0</v>
      </c>
      <c r="AB13" s="41">
        <f>'1'!AI32</f>
        <v>0</v>
      </c>
      <c r="AC13" s="41">
        <f>'1'!AJ32</f>
        <v>0</v>
      </c>
      <c r="AD13" s="41">
        <f>'1'!AK32</f>
        <v>0</v>
      </c>
      <c r="AE13" s="41">
        <f>'1'!AL32</f>
        <v>0</v>
      </c>
      <c r="AF13" s="41">
        <f>'1'!AM32</f>
        <v>0</v>
      </c>
      <c r="AG13" s="41">
        <f>'1'!AN32</f>
        <v>0</v>
      </c>
      <c r="AH13" s="41">
        <f>'1'!AO32</f>
        <v>0</v>
      </c>
      <c r="AI13" s="41">
        <f>'1'!AP32</f>
        <v>0</v>
      </c>
      <c r="AJ13" s="41">
        <f>'1'!AQ32</f>
        <v>0</v>
      </c>
    </row>
    <row r="14" spans="1:36" ht="18" x14ac:dyDescent="0.2">
      <c r="A14" s="21"/>
      <c r="B14" s="23" t="s">
        <v>38</v>
      </c>
      <c r="C14" s="41">
        <f>'2'!J32</f>
        <v>0</v>
      </c>
      <c r="D14" s="41">
        <f>'2'!K32</f>
        <v>0</v>
      </c>
      <c r="E14" s="41">
        <f>'2'!L32</f>
        <v>0</v>
      </c>
      <c r="F14" s="41">
        <f>'2'!M32</f>
        <v>0</v>
      </c>
      <c r="G14" s="41">
        <f>'2'!N32</f>
        <v>0</v>
      </c>
      <c r="H14" s="41">
        <f>'2'!O32</f>
        <v>0</v>
      </c>
      <c r="I14" s="41">
        <f>'2'!P32</f>
        <v>0</v>
      </c>
      <c r="J14" s="41">
        <f>'2'!Q32</f>
        <v>0</v>
      </c>
      <c r="K14" s="41">
        <f>'2'!R32</f>
        <v>0</v>
      </c>
      <c r="L14" s="41">
        <f>'2'!S32</f>
        <v>0</v>
      </c>
      <c r="M14" s="41">
        <f>'2'!T32</f>
        <v>0</v>
      </c>
      <c r="N14" s="41">
        <f>'2'!U32</f>
        <v>0</v>
      </c>
      <c r="O14" s="41">
        <f>'2'!V32</f>
        <v>0</v>
      </c>
      <c r="P14" s="41">
        <f>'2'!W32</f>
        <v>0</v>
      </c>
      <c r="Q14" s="41">
        <f>'2'!X32</f>
        <v>0</v>
      </c>
      <c r="R14" s="41">
        <f>'2'!Y32</f>
        <v>0</v>
      </c>
      <c r="S14" s="41">
        <f>'2'!Z32</f>
        <v>0</v>
      </c>
      <c r="T14" s="41">
        <f>'2'!AA32</f>
        <v>0</v>
      </c>
      <c r="U14" s="41">
        <f>'2'!AB32</f>
        <v>0</v>
      </c>
      <c r="V14" s="41">
        <f>'2'!AC32</f>
        <v>0</v>
      </c>
      <c r="W14" s="41">
        <f>'2'!AD32</f>
        <v>0</v>
      </c>
      <c r="X14" s="41">
        <f>'2'!AE32</f>
        <v>0</v>
      </c>
      <c r="Y14" s="41">
        <f>'2'!AF32</f>
        <v>0</v>
      </c>
      <c r="Z14" s="41">
        <f>'2'!AG32</f>
        <v>0</v>
      </c>
      <c r="AA14" s="41">
        <f>'2'!AH32</f>
        <v>0</v>
      </c>
      <c r="AB14" s="41">
        <f>'2'!AI32</f>
        <v>0</v>
      </c>
      <c r="AC14" s="41">
        <f>'2'!AJ32</f>
        <v>0</v>
      </c>
      <c r="AD14" s="41">
        <f>'2'!AK32</f>
        <v>0</v>
      </c>
      <c r="AE14" s="41">
        <f>'2'!AL32</f>
        <v>0</v>
      </c>
      <c r="AF14" s="41">
        <f>'2'!AM32</f>
        <v>0</v>
      </c>
      <c r="AG14" s="41">
        <f>'2'!AN32</f>
        <v>0</v>
      </c>
      <c r="AH14" s="41">
        <f>'2'!AO32</f>
        <v>0</v>
      </c>
      <c r="AI14" s="41">
        <f>'2'!AP32</f>
        <v>0</v>
      </c>
      <c r="AJ14" s="41">
        <f>'2'!AQ32</f>
        <v>0</v>
      </c>
    </row>
    <row r="15" spans="1:36" ht="18" x14ac:dyDescent="0.2">
      <c r="A15" s="21"/>
      <c r="B15" s="23" t="s">
        <v>39</v>
      </c>
      <c r="C15" s="41">
        <f>'3'!J32</f>
        <v>0</v>
      </c>
      <c r="D15" s="41">
        <f>'3'!K32</f>
        <v>0</v>
      </c>
      <c r="E15" s="41">
        <f>'3'!L32</f>
        <v>0</v>
      </c>
      <c r="F15" s="41">
        <f>'3'!M32</f>
        <v>0</v>
      </c>
      <c r="G15" s="41">
        <f>'3'!N32</f>
        <v>0</v>
      </c>
      <c r="H15" s="41">
        <f>'3'!O32</f>
        <v>0</v>
      </c>
      <c r="I15" s="41">
        <f>'3'!P32</f>
        <v>0</v>
      </c>
      <c r="J15" s="41">
        <f>'3'!Q32</f>
        <v>0</v>
      </c>
      <c r="K15" s="41">
        <f>'3'!R32</f>
        <v>0</v>
      </c>
      <c r="L15" s="41">
        <f>'3'!S32</f>
        <v>0</v>
      </c>
      <c r="M15" s="41">
        <f>'3'!T32</f>
        <v>0</v>
      </c>
      <c r="N15" s="41">
        <f>'3'!U32</f>
        <v>0</v>
      </c>
      <c r="O15" s="41">
        <f>'3'!V32</f>
        <v>0</v>
      </c>
      <c r="P15" s="41">
        <f>'3'!W32</f>
        <v>0</v>
      </c>
      <c r="Q15" s="41">
        <f>'3'!X32</f>
        <v>0</v>
      </c>
      <c r="R15" s="41">
        <f>'3'!Y32</f>
        <v>0</v>
      </c>
      <c r="S15" s="41">
        <f>'3'!Z32</f>
        <v>0</v>
      </c>
      <c r="T15" s="41">
        <f>'3'!AA32</f>
        <v>0</v>
      </c>
      <c r="U15" s="41">
        <f>'3'!AB32</f>
        <v>0</v>
      </c>
      <c r="V15" s="41">
        <f>'3'!AC32</f>
        <v>0</v>
      </c>
      <c r="W15" s="41">
        <f>'3'!AD32</f>
        <v>0</v>
      </c>
      <c r="X15" s="41">
        <f>'3'!AE32</f>
        <v>0</v>
      </c>
      <c r="Y15" s="41">
        <f>'3'!AF32</f>
        <v>0</v>
      </c>
      <c r="Z15" s="41">
        <f>'3'!AG32</f>
        <v>0</v>
      </c>
      <c r="AA15" s="41">
        <f>'3'!AH32</f>
        <v>0</v>
      </c>
      <c r="AB15" s="41">
        <f>'3'!AI32</f>
        <v>0</v>
      </c>
      <c r="AC15" s="41">
        <f>'3'!AJ32</f>
        <v>0</v>
      </c>
      <c r="AD15" s="41">
        <f>'3'!AK32</f>
        <v>0</v>
      </c>
      <c r="AE15" s="41">
        <f>'3'!AL32</f>
        <v>0</v>
      </c>
      <c r="AF15" s="41">
        <f>'3'!AM32</f>
        <v>0</v>
      </c>
      <c r="AG15" s="41">
        <f>'3'!AN32</f>
        <v>0</v>
      </c>
      <c r="AH15" s="41">
        <f>'3'!AO32</f>
        <v>0</v>
      </c>
      <c r="AI15" s="41">
        <f>'3'!AP32</f>
        <v>0</v>
      </c>
      <c r="AJ15" s="41">
        <f>'3'!AQ32</f>
        <v>0</v>
      </c>
    </row>
    <row r="16" spans="1:36" ht="18" x14ac:dyDescent="0.2">
      <c r="A16" s="21"/>
      <c r="B16" s="23" t="s">
        <v>40</v>
      </c>
      <c r="C16" s="41">
        <f>'4'!J32</f>
        <v>0</v>
      </c>
      <c r="D16" s="41">
        <f>'4'!K32</f>
        <v>0</v>
      </c>
      <c r="E16" s="41">
        <f>'4'!L32</f>
        <v>0</v>
      </c>
      <c r="F16" s="41">
        <f>'4'!M32</f>
        <v>0</v>
      </c>
      <c r="G16" s="41">
        <f>'4'!N32</f>
        <v>0</v>
      </c>
      <c r="H16" s="41">
        <f>'4'!O32</f>
        <v>0</v>
      </c>
      <c r="I16" s="41">
        <f>'4'!P32</f>
        <v>0</v>
      </c>
      <c r="J16" s="41">
        <f>'4'!Q32</f>
        <v>0</v>
      </c>
      <c r="K16" s="41">
        <f>'4'!R32</f>
        <v>0</v>
      </c>
      <c r="L16" s="41">
        <f>'4'!S32</f>
        <v>0</v>
      </c>
      <c r="M16" s="41">
        <f>'4'!T32</f>
        <v>0</v>
      </c>
      <c r="N16" s="41">
        <f>'4'!U32</f>
        <v>0</v>
      </c>
      <c r="O16" s="41">
        <f>'4'!V32</f>
        <v>0</v>
      </c>
      <c r="P16" s="41">
        <f>'4'!W32</f>
        <v>0</v>
      </c>
      <c r="Q16" s="41">
        <f>'4'!X32</f>
        <v>0</v>
      </c>
      <c r="R16" s="41">
        <f>'4'!Y32</f>
        <v>0</v>
      </c>
      <c r="S16" s="41">
        <f>'4'!Z32</f>
        <v>0</v>
      </c>
      <c r="T16" s="41">
        <f>'4'!AA32</f>
        <v>0</v>
      </c>
      <c r="U16" s="41">
        <f>'4'!AB32</f>
        <v>0</v>
      </c>
      <c r="V16" s="41">
        <f>'4'!AC32</f>
        <v>0</v>
      </c>
      <c r="W16" s="41">
        <f>'4'!AD32</f>
        <v>0</v>
      </c>
      <c r="X16" s="41">
        <f>'4'!AE32</f>
        <v>0</v>
      </c>
      <c r="Y16" s="41">
        <f>'4'!AF32</f>
        <v>0</v>
      </c>
      <c r="Z16" s="41">
        <f>'4'!AG32</f>
        <v>0</v>
      </c>
      <c r="AA16" s="41">
        <f>'4'!AH32</f>
        <v>0</v>
      </c>
      <c r="AB16" s="41">
        <f>'4'!AI32</f>
        <v>0</v>
      </c>
      <c r="AC16" s="41">
        <f>'4'!AJ32</f>
        <v>0</v>
      </c>
      <c r="AD16" s="41">
        <f>'4'!AK32</f>
        <v>0</v>
      </c>
      <c r="AE16" s="41">
        <f>'4'!AL32</f>
        <v>0</v>
      </c>
      <c r="AF16" s="41">
        <f>'4'!AM32</f>
        <v>0</v>
      </c>
      <c r="AG16" s="41">
        <f>'4'!AN32</f>
        <v>0</v>
      </c>
      <c r="AH16" s="41">
        <f>'4'!AO32</f>
        <v>0</v>
      </c>
      <c r="AI16" s="41">
        <f>'4'!AP32</f>
        <v>0</v>
      </c>
      <c r="AJ16" s="41">
        <f>'4'!AQ32</f>
        <v>0</v>
      </c>
    </row>
    <row r="17" spans="1:36" ht="18" x14ac:dyDescent="0.2">
      <c r="A17" s="21"/>
      <c r="B17" s="23" t="s">
        <v>41</v>
      </c>
      <c r="C17" s="41">
        <f>'5'!J32</f>
        <v>0</v>
      </c>
      <c r="D17" s="41">
        <f>'5'!K32</f>
        <v>0</v>
      </c>
      <c r="E17" s="41">
        <f>'5'!L32</f>
        <v>0</v>
      </c>
      <c r="F17" s="41">
        <f>'5'!M32</f>
        <v>0</v>
      </c>
      <c r="G17" s="41">
        <f>'5'!N32</f>
        <v>0</v>
      </c>
      <c r="H17" s="41">
        <f>'5'!O32</f>
        <v>0</v>
      </c>
      <c r="I17" s="41">
        <f>'5'!P32</f>
        <v>0</v>
      </c>
      <c r="J17" s="41">
        <f>'5'!Q32</f>
        <v>0</v>
      </c>
      <c r="K17" s="41">
        <f>'5'!R32</f>
        <v>0</v>
      </c>
      <c r="L17" s="41">
        <f>'5'!S32</f>
        <v>0</v>
      </c>
      <c r="M17" s="41">
        <f>'5'!T32</f>
        <v>0</v>
      </c>
      <c r="N17" s="41">
        <f>'5'!U32</f>
        <v>0</v>
      </c>
      <c r="O17" s="41">
        <f>'5'!V32</f>
        <v>0</v>
      </c>
      <c r="P17" s="41">
        <f>'5'!W32</f>
        <v>0</v>
      </c>
      <c r="Q17" s="41">
        <f>'5'!X32</f>
        <v>0</v>
      </c>
      <c r="R17" s="41">
        <f>'5'!Y32</f>
        <v>0</v>
      </c>
      <c r="S17" s="41">
        <f>'5'!Z32</f>
        <v>0</v>
      </c>
      <c r="T17" s="41">
        <f>'5'!AA32</f>
        <v>0</v>
      </c>
      <c r="U17" s="41">
        <f>'5'!AB32</f>
        <v>0</v>
      </c>
      <c r="V17" s="41">
        <f>'5'!AC32</f>
        <v>0</v>
      </c>
      <c r="W17" s="41">
        <f>'5'!AD32</f>
        <v>0</v>
      </c>
      <c r="X17" s="41">
        <f>'5'!AE32</f>
        <v>0</v>
      </c>
      <c r="Y17" s="41">
        <f>'5'!AF32</f>
        <v>0</v>
      </c>
      <c r="Z17" s="41">
        <f>'5'!AG32</f>
        <v>0</v>
      </c>
      <c r="AA17" s="41">
        <f>'5'!AH32</f>
        <v>0</v>
      </c>
      <c r="AB17" s="41">
        <f>'5'!AI32</f>
        <v>0</v>
      </c>
      <c r="AC17" s="41">
        <f>'5'!AJ32</f>
        <v>0</v>
      </c>
      <c r="AD17" s="41">
        <f>'5'!AK32</f>
        <v>0</v>
      </c>
      <c r="AE17" s="41">
        <f>'5'!AL32</f>
        <v>0</v>
      </c>
      <c r="AF17" s="41">
        <f>'5'!AM32</f>
        <v>0</v>
      </c>
      <c r="AG17" s="41">
        <f>'5'!AN32</f>
        <v>0</v>
      </c>
      <c r="AH17" s="41">
        <f>'5'!AO32</f>
        <v>0</v>
      </c>
      <c r="AI17" s="41">
        <f>'5'!AP32</f>
        <v>0</v>
      </c>
      <c r="AJ17" s="41">
        <f>'5'!AQ32</f>
        <v>0</v>
      </c>
    </row>
    <row r="18" spans="1:36" ht="18" x14ac:dyDescent="0.2">
      <c r="A18" s="21"/>
      <c r="B18" s="23" t="s">
        <v>42</v>
      </c>
      <c r="C18" s="41">
        <f>'6'!J32</f>
        <v>0</v>
      </c>
      <c r="D18" s="41">
        <f>'6'!K32</f>
        <v>0</v>
      </c>
      <c r="E18" s="41">
        <f>'6'!L32</f>
        <v>0</v>
      </c>
      <c r="F18" s="41">
        <f>'6'!M32</f>
        <v>0</v>
      </c>
      <c r="G18" s="41">
        <f>'6'!N32</f>
        <v>0</v>
      </c>
      <c r="H18" s="41">
        <f>'6'!O32</f>
        <v>0</v>
      </c>
      <c r="I18" s="41">
        <f>'6'!P32</f>
        <v>0</v>
      </c>
      <c r="J18" s="41">
        <f>'6'!Q32</f>
        <v>0</v>
      </c>
      <c r="K18" s="41">
        <f>'6'!R32</f>
        <v>0</v>
      </c>
      <c r="L18" s="41">
        <f>'6'!S32</f>
        <v>0</v>
      </c>
      <c r="M18" s="41">
        <f>'6'!T32</f>
        <v>0</v>
      </c>
      <c r="N18" s="41">
        <f>'6'!U32</f>
        <v>0</v>
      </c>
      <c r="O18" s="41">
        <f>'6'!V32</f>
        <v>0</v>
      </c>
      <c r="P18" s="41">
        <f>'6'!W32</f>
        <v>0</v>
      </c>
      <c r="Q18" s="41">
        <f>'6'!X32</f>
        <v>0</v>
      </c>
      <c r="R18" s="41">
        <f>'6'!Y32</f>
        <v>0</v>
      </c>
      <c r="S18" s="41">
        <f>'6'!Z32</f>
        <v>0</v>
      </c>
      <c r="T18" s="41">
        <f>'6'!AA32</f>
        <v>0</v>
      </c>
      <c r="U18" s="41">
        <f>'6'!AB32</f>
        <v>0</v>
      </c>
      <c r="V18" s="41">
        <f>'6'!AC32</f>
        <v>0</v>
      </c>
      <c r="W18" s="41">
        <f>'6'!AD32</f>
        <v>0</v>
      </c>
      <c r="X18" s="41">
        <f>'6'!AE32</f>
        <v>0</v>
      </c>
      <c r="Y18" s="41">
        <f>'6'!AF32</f>
        <v>0</v>
      </c>
      <c r="Z18" s="41">
        <f>'6'!AG32</f>
        <v>0</v>
      </c>
      <c r="AA18" s="41">
        <f>'6'!AH32</f>
        <v>0</v>
      </c>
      <c r="AB18" s="41">
        <f>'6'!AI32</f>
        <v>0</v>
      </c>
      <c r="AC18" s="41">
        <f>'6'!AJ32</f>
        <v>0</v>
      </c>
      <c r="AD18" s="41">
        <f>'6'!AK32</f>
        <v>0</v>
      </c>
      <c r="AE18" s="41">
        <f>'6'!AL32</f>
        <v>0</v>
      </c>
      <c r="AF18" s="41">
        <f>'6'!AM32</f>
        <v>0</v>
      </c>
      <c r="AG18" s="41">
        <f>'6'!AN32</f>
        <v>0</v>
      </c>
      <c r="AH18" s="41">
        <f>'6'!AO32</f>
        <v>0</v>
      </c>
      <c r="AI18" s="41">
        <f>'6'!AP32</f>
        <v>0</v>
      </c>
      <c r="AJ18" s="41">
        <f>'6'!AQ32</f>
        <v>0</v>
      </c>
    </row>
    <row r="19" spans="1:36" ht="18" x14ac:dyDescent="0.2">
      <c r="A19" s="21"/>
      <c r="B19" s="23" t="s">
        <v>43</v>
      </c>
      <c r="C19" s="41">
        <f>'7'!J32</f>
        <v>0</v>
      </c>
      <c r="D19" s="41">
        <f>'7'!K32</f>
        <v>1000</v>
      </c>
      <c r="E19" s="41">
        <f>'7'!L32</f>
        <v>0</v>
      </c>
      <c r="F19" s="41">
        <f>'7'!M32</f>
        <v>1000</v>
      </c>
      <c r="G19" s="41">
        <f>'7'!N32</f>
        <v>0</v>
      </c>
      <c r="H19" s="41">
        <f>'7'!O32</f>
        <v>0</v>
      </c>
      <c r="I19" s="41">
        <f>'7'!P32</f>
        <v>0</v>
      </c>
      <c r="J19" s="41">
        <f>'7'!Q32</f>
        <v>0</v>
      </c>
      <c r="K19" s="41">
        <f>'7'!R32</f>
        <v>0</v>
      </c>
      <c r="L19" s="41">
        <f>'7'!S32</f>
        <v>0</v>
      </c>
      <c r="M19" s="41">
        <f>'7'!T32</f>
        <v>0</v>
      </c>
      <c r="N19" s="41">
        <f>'7'!U32</f>
        <v>0</v>
      </c>
      <c r="O19" s="41">
        <f>'7'!V32</f>
        <v>0</v>
      </c>
      <c r="P19" s="41">
        <f>'7'!W32</f>
        <v>0</v>
      </c>
      <c r="Q19" s="41">
        <f>'7'!X32</f>
        <v>0</v>
      </c>
      <c r="R19" s="41">
        <f>'7'!Y32</f>
        <v>0</v>
      </c>
      <c r="S19" s="41">
        <f>'7'!Z32</f>
        <v>0</v>
      </c>
      <c r="T19" s="41">
        <f>'7'!AA32</f>
        <v>0</v>
      </c>
      <c r="U19" s="41">
        <f>'7'!AB32</f>
        <v>0</v>
      </c>
      <c r="V19" s="41">
        <f>'7'!AC32</f>
        <v>0</v>
      </c>
      <c r="W19" s="41">
        <f>'7'!AD32</f>
        <v>0</v>
      </c>
      <c r="X19" s="41">
        <f>'7'!AE32</f>
        <v>0</v>
      </c>
      <c r="Y19" s="41">
        <f>'7'!AF32</f>
        <v>0</v>
      </c>
      <c r="Z19" s="41">
        <f>'7'!AG32</f>
        <v>0</v>
      </c>
      <c r="AA19" s="41">
        <f>'7'!AH32</f>
        <v>0</v>
      </c>
      <c r="AB19" s="41">
        <f>'7'!AI32</f>
        <v>0</v>
      </c>
      <c r="AC19" s="41">
        <f>'7'!AJ32</f>
        <v>0</v>
      </c>
      <c r="AD19" s="41">
        <f>'7'!AK32</f>
        <v>0</v>
      </c>
      <c r="AE19" s="41">
        <f>'7'!AL32</f>
        <v>0</v>
      </c>
      <c r="AF19" s="41">
        <f>'7'!AM32</f>
        <v>0</v>
      </c>
      <c r="AG19" s="41">
        <f>'7'!AN32</f>
        <v>0</v>
      </c>
      <c r="AH19" s="41">
        <f>'7'!AO32</f>
        <v>0</v>
      </c>
      <c r="AI19" s="41">
        <f>'7'!AP32</f>
        <v>0</v>
      </c>
      <c r="AJ19" s="41">
        <f>'7'!AQ32</f>
        <v>0</v>
      </c>
    </row>
    <row r="20" spans="1:36" ht="18" x14ac:dyDescent="0.2">
      <c r="A20" s="21"/>
      <c r="B20" s="23" t="s">
        <v>44</v>
      </c>
      <c r="C20" s="41">
        <f>'8'!J32</f>
        <v>0</v>
      </c>
      <c r="D20" s="41">
        <f>'8'!K32</f>
        <v>0</v>
      </c>
      <c r="E20" s="41">
        <f>'8'!L32</f>
        <v>0</v>
      </c>
      <c r="F20" s="41">
        <f>'8'!M32</f>
        <v>0</v>
      </c>
      <c r="G20" s="41">
        <f>'8'!N32</f>
        <v>0</v>
      </c>
      <c r="H20" s="41">
        <f>'8'!O32</f>
        <v>0</v>
      </c>
      <c r="I20" s="41">
        <f>'8'!P32</f>
        <v>0</v>
      </c>
      <c r="J20" s="41">
        <f>'8'!Q32</f>
        <v>0</v>
      </c>
      <c r="K20" s="41">
        <f>'8'!R32</f>
        <v>0</v>
      </c>
      <c r="L20" s="41">
        <f>'8'!S32</f>
        <v>0</v>
      </c>
      <c r="M20" s="41">
        <f>'8'!T32</f>
        <v>0</v>
      </c>
      <c r="N20" s="41">
        <f>'8'!U32</f>
        <v>0</v>
      </c>
      <c r="O20" s="41">
        <f>'8'!V32</f>
        <v>0</v>
      </c>
      <c r="P20" s="41">
        <f>'8'!W32</f>
        <v>0</v>
      </c>
      <c r="Q20" s="41">
        <f>'8'!X32</f>
        <v>0</v>
      </c>
      <c r="R20" s="41">
        <f>'8'!Y32</f>
        <v>0</v>
      </c>
      <c r="S20" s="41">
        <f>'8'!Z32</f>
        <v>0</v>
      </c>
      <c r="T20" s="41">
        <f>'8'!AA32</f>
        <v>0</v>
      </c>
      <c r="U20" s="41">
        <f>'8'!AB32</f>
        <v>0</v>
      </c>
      <c r="V20" s="41">
        <f>'8'!AC32</f>
        <v>0</v>
      </c>
      <c r="W20" s="41">
        <f>'8'!AD32</f>
        <v>0</v>
      </c>
      <c r="X20" s="41">
        <f>'8'!AE32</f>
        <v>0</v>
      </c>
      <c r="Y20" s="41">
        <f>'8'!AF32</f>
        <v>0</v>
      </c>
      <c r="Z20" s="41">
        <f>'8'!AG32</f>
        <v>0</v>
      </c>
      <c r="AA20" s="41">
        <f>'8'!AH32</f>
        <v>0</v>
      </c>
      <c r="AB20" s="41">
        <f>'8'!AI32</f>
        <v>0</v>
      </c>
      <c r="AC20" s="41">
        <f>'8'!AJ32</f>
        <v>0</v>
      </c>
      <c r="AD20" s="41">
        <f>'8'!AK32</f>
        <v>0</v>
      </c>
      <c r="AE20" s="41">
        <f>'8'!AL32</f>
        <v>0</v>
      </c>
      <c r="AF20" s="41">
        <f>'8'!AM32</f>
        <v>0</v>
      </c>
      <c r="AG20" s="41">
        <f>'8'!AN32</f>
        <v>0</v>
      </c>
      <c r="AH20" s="41">
        <f>'8'!AO32</f>
        <v>0</v>
      </c>
      <c r="AI20" s="41">
        <f>'8'!AP32</f>
        <v>0</v>
      </c>
      <c r="AJ20" s="41">
        <f>'8'!AQ32</f>
        <v>0</v>
      </c>
    </row>
    <row r="21" spans="1:36" ht="18" x14ac:dyDescent="0.2">
      <c r="A21" s="21"/>
      <c r="B21" s="23" t="s">
        <v>45</v>
      </c>
      <c r="C21" s="41">
        <f>'9'!J32</f>
        <v>0</v>
      </c>
      <c r="D21" s="41">
        <f>'9'!K32</f>
        <v>0</v>
      </c>
      <c r="E21" s="41">
        <f>'9'!L32</f>
        <v>0</v>
      </c>
      <c r="F21" s="41">
        <f>'9'!M32</f>
        <v>0</v>
      </c>
      <c r="G21" s="41">
        <f>'9'!N32</f>
        <v>0</v>
      </c>
      <c r="H21" s="41">
        <f>'9'!O32</f>
        <v>0</v>
      </c>
      <c r="I21" s="41">
        <f>'9'!P32</f>
        <v>0</v>
      </c>
      <c r="J21" s="41">
        <f>'9'!Q32</f>
        <v>0</v>
      </c>
      <c r="K21" s="41">
        <f>'9'!R32</f>
        <v>0</v>
      </c>
      <c r="L21" s="41">
        <f>'9'!S32</f>
        <v>0</v>
      </c>
      <c r="M21" s="41">
        <f>'9'!T32</f>
        <v>0</v>
      </c>
      <c r="N21" s="41">
        <f>'9'!U32</f>
        <v>0</v>
      </c>
      <c r="O21" s="41">
        <f>'9'!V32</f>
        <v>0</v>
      </c>
      <c r="P21" s="41">
        <f>'9'!W32</f>
        <v>0</v>
      </c>
      <c r="Q21" s="41">
        <f>'9'!X32</f>
        <v>0</v>
      </c>
      <c r="R21" s="41">
        <f>'9'!Y32</f>
        <v>0</v>
      </c>
      <c r="S21" s="41">
        <f>'9'!Z32</f>
        <v>0</v>
      </c>
      <c r="T21" s="41">
        <f>'9'!AA32</f>
        <v>0</v>
      </c>
      <c r="U21" s="41">
        <f>'9'!AB32</f>
        <v>0</v>
      </c>
      <c r="V21" s="41">
        <f>'9'!AC32</f>
        <v>0</v>
      </c>
      <c r="W21" s="41">
        <f>'9'!AD32</f>
        <v>0</v>
      </c>
      <c r="X21" s="41">
        <f>'9'!AE32</f>
        <v>0</v>
      </c>
      <c r="Y21" s="41">
        <f>'9'!AF32</f>
        <v>0</v>
      </c>
      <c r="Z21" s="41">
        <f>'9'!AG32</f>
        <v>0</v>
      </c>
      <c r="AA21" s="41">
        <f>'9'!AH32</f>
        <v>0</v>
      </c>
      <c r="AB21" s="41">
        <f>'9'!AI32</f>
        <v>0</v>
      </c>
      <c r="AC21" s="41">
        <f>'9'!AJ32</f>
        <v>0</v>
      </c>
      <c r="AD21" s="41">
        <f>'9'!AK32</f>
        <v>0</v>
      </c>
      <c r="AE21" s="41">
        <f>'9'!AL32</f>
        <v>0</v>
      </c>
      <c r="AF21" s="41">
        <f>'9'!AM32</f>
        <v>0</v>
      </c>
      <c r="AG21" s="41">
        <f>'9'!AN32</f>
        <v>0</v>
      </c>
      <c r="AH21" s="41">
        <f>'9'!AO32</f>
        <v>0</v>
      </c>
      <c r="AI21" s="41">
        <f>'9'!AP32</f>
        <v>0</v>
      </c>
      <c r="AJ21" s="41">
        <f>'9'!AQ32</f>
        <v>0</v>
      </c>
    </row>
    <row r="22" spans="1:36" ht="18" x14ac:dyDescent="0.2">
      <c r="A22" s="22">
        <f>SUM(A2:A21)</f>
        <v>0</v>
      </c>
      <c r="B22" s="23" t="s">
        <v>49</v>
      </c>
      <c r="C22" s="41">
        <f>'10'!J32</f>
        <v>0</v>
      </c>
      <c r="D22" s="41">
        <f>'10'!K32</f>
        <v>0</v>
      </c>
      <c r="E22" s="41">
        <f>'10'!L32</f>
        <v>0</v>
      </c>
      <c r="F22" s="41">
        <f>'10'!M32</f>
        <v>0</v>
      </c>
      <c r="G22" s="41">
        <f>'10'!N32</f>
        <v>0</v>
      </c>
      <c r="H22" s="41">
        <f>'10'!O32</f>
        <v>0</v>
      </c>
      <c r="I22" s="41">
        <f>'10'!P32</f>
        <v>0</v>
      </c>
      <c r="J22" s="41">
        <f>'10'!Q32</f>
        <v>0</v>
      </c>
      <c r="K22" s="41">
        <f>'10'!R32</f>
        <v>0</v>
      </c>
      <c r="L22" s="41">
        <f>'10'!S32</f>
        <v>0</v>
      </c>
      <c r="M22" s="41">
        <f>'10'!T32</f>
        <v>0</v>
      </c>
      <c r="N22" s="41">
        <f>'10'!U32</f>
        <v>0</v>
      </c>
      <c r="O22" s="41">
        <f>'10'!V32</f>
        <v>0</v>
      </c>
      <c r="P22" s="41">
        <f>'10'!W32</f>
        <v>0</v>
      </c>
      <c r="Q22" s="41">
        <f>'10'!X32</f>
        <v>0</v>
      </c>
      <c r="R22" s="41">
        <f>'10'!Y32</f>
        <v>0</v>
      </c>
      <c r="S22" s="41">
        <f>'10'!Z32</f>
        <v>0</v>
      </c>
      <c r="T22" s="41">
        <f>'10'!AA32</f>
        <v>0</v>
      </c>
      <c r="U22" s="41">
        <f>'10'!AB32</f>
        <v>0</v>
      </c>
      <c r="V22" s="41">
        <f>'10'!AC32</f>
        <v>0</v>
      </c>
      <c r="W22" s="41">
        <f>'10'!AD32</f>
        <v>0</v>
      </c>
      <c r="X22" s="41">
        <f>'10'!AE32</f>
        <v>0</v>
      </c>
      <c r="Y22" s="41">
        <f>'10'!AF32</f>
        <v>0</v>
      </c>
      <c r="Z22" s="41">
        <f>'10'!AG32</f>
        <v>0</v>
      </c>
      <c r="AA22" s="41">
        <f>'10'!AH32</f>
        <v>0</v>
      </c>
      <c r="AB22" s="41">
        <f>'10'!AI32</f>
        <v>0</v>
      </c>
      <c r="AC22" s="41">
        <f>'10'!AJ32</f>
        <v>0</v>
      </c>
      <c r="AD22" s="41">
        <f>'10'!AK32</f>
        <v>0</v>
      </c>
      <c r="AE22" s="41">
        <f>'10'!AL32</f>
        <v>0</v>
      </c>
      <c r="AF22" s="41">
        <f>'10'!AM32</f>
        <v>0</v>
      </c>
      <c r="AG22" s="41">
        <f>'10'!AN32</f>
        <v>0</v>
      </c>
      <c r="AH22" s="41">
        <f>'10'!AO32</f>
        <v>0</v>
      </c>
      <c r="AI22" s="41">
        <f>'10'!AP32</f>
        <v>0</v>
      </c>
      <c r="AJ22" s="41">
        <f>'10'!AQ32</f>
        <v>0</v>
      </c>
    </row>
    <row r="23" spans="1:36" ht="18" x14ac:dyDescent="0.2">
      <c r="A23" s="21"/>
      <c r="B23" s="23" t="s">
        <v>46</v>
      </c>
      <c r="C23" s="41">
        <f>'11'!J32</f>
        <v>0</v>
      </c>
      <c r="D23" s="41">
        <f>'11'!K32</f>
        <v>0</v>
      </c>
      <c r="E23" s="41">
        <f>'11'!L32</f>
        <v>0</v>
      </c>
      <c r="F23" s="41">
        <f>'11'!M32</f>
        <v>0</v>
      </c>
      <c r="G23" s="41">
        <f>'11'!N32</f>
        <v>0</v>
      </c>
      <c r="H23" s="41">
        <f>'11'!O32</f>
        <v>0</v>
      </c>
      <c r="I23" s="41">
        <f>'11'!P32</f>
        <v>0</v>
      </c>
      <c r="J23" s="41">
        <f>'11'!Q32</f>
        <v>0</v>
      </c>
      <c r="K23" s="41">
        <f>'11'!R32</f>
        <v>0</v>
      </c>
      <c r="L23" s="41">
        <f>'11'!S32</f>
        <v>0</v>
      </c>
      <c r="M23" s="41">
        <f>'11'!T32</f>
        <v>0</v>
      </c>
      <c r="N23" s="41">
        <f>'11'!U32</f>
        <v>0</v>
      </c>
      <c r="O23" s="41">
        <f>'11'!V32</f>
        <v>0</v>
      </c>
      <c r="P23" s="41">
        <f>'11'!W32</f>
        <v>0</v>
      </c>
      <c r="Q23" s="41">
        <f>'11'!X32</f>
        <v>0</v>
      </c>
      <c r="R23" s="41">
        <f>'11'!Y32</f>
        <v>0</v>
      </c>
      <c r="S23" s="41">
        <f>'11'!Z32</f>
        <v>0</v>
      </c>
      <c r="T23" s="41">
        <f>'11'!AA32</f>
        <v>0</v>
      </c>
      <c r="U23" s="41">
        <f>'11'!AB32</f>
        <v>0</v>
      </c>
      <c r="V23" s="41">
        <f>'11'!AC32</f>
        <v>0</v>
      </c>
      <c r="W23" s="41">
        <f>'11'!AD32</f>
        <v>0</v>
      </c>
      <c r="X23" s="41">
        <f>'11'!AE32</f>
        <v>0</v>
      </c>
      <c r="Y23" s="41">
        <f>'11'!AF32</f>
        <v>0</v>
      </c>
      <c r="Z23" s="41">
        <f>'11'!AG32</f>
        <v>0</v>
      </c>
      <c r="AA23" s="41">
        <f>'11'!AH32</f>
        <v>0</v>
      </c>
      <c r="AB23" s="41">
        <f>'11'!AI32</f>
        <v>0</v>
      </c>
      <c r="AC23" s="41">
        <f>'11'!AJ32</f>
        <v>0</v>
      </c>
      <c r="AD23" s="41">
        <f>'11'!AK32</f>
        <v>0</v>
      </c>
      <c r="AE23" s="41">
        <f>'11'!AL32</f>
        <v>0</v>
      </c>
      <c r="AF23" s="41">
        <f>'11'!AM32</f>
        <v>0</v>
      </c>
      <c r="AG23" s="41">
        <f>'11'!AN32</f>
        <v>0</v>
      </c>
      <c r="AH23" s="41">
        <f>'11'!AO32</f>
        <v>0</v>
      </c>
      <c r="AI23" s="41">
        <f>'11'!AP32</f>
        <v>0</v>
      </c>
      <c r="AJ23" s="41">
        <f>'11'!AQ32</f>
        <v>0</v>
      </c>
    </row>
    <row r="24" spans="1:36" ht="18" x14ac:dyDescent="0.2">
      <c r="A24" s="21"/>
      <c r="B24" s="23" t="s">
        <v>47</v>
      </c>
      <c r="C24" s="41">
        <f>'12'!J32</f>
        <v>0</v>
      </c>
      <c r="D24" s="41">
        <f>'12'!K32</f>
        <v>0</v>
      </c>
      <c r="E24" s="41">
        <f>'12'!L32</f>
        <v>0</v>
      </c>
      <c r="F24" s="41">
        <f>'12'!M32</f>
        <v>0</v>
      </c>
      <c r="G24" s="41">
        <f>'12'!N32</f>
        <v>0</v>
      </c>
      <c r="H24" s="41">
        <f>'12'!O32</f>
        <v>0</v>
      </c>
      <c r="I24" s="41">
        <f>'12'!P32</f>
        <v>0</v>
      </c>
      <c r="J24" s="41">
        <f>'12'!Q32</f>
        <v>0</v>
      </c>
      <c r="K24" s="41">
        <f>'12'!R32</f>
        <v>0</v>
      </c>
      <c r="L24" s="41">
        <f>'12'!S32</f>
        <v>0</v>
      </c>
      <c r="M24" s="41">
        <f>'12'!T32</f>
        <v>0</v>
      </c>
      <c r="N24" s="41">
        <f>'12'!U32</f>
        <v>0</v>
      </c>
      <c r="O24" s="41">
        <f>'12'!V32</f>
        <v>0</v>
      </c>
      <c r="P24" s="41">
        <f>'12'!W32</f>
        <v>0</v>
      </c>
      <c r="Q24" s="41">
        <f>'12'!X32</f>
        <v>0</v>
      </c>
      <c r="R24" s="41">
        <f>'12'!Y32</f>
        <v>0</v>
      </c>
      <c r="S24" s="41">
        <f>'12'!Z32</f>
        <v>0</v>
      </c>
      <c r="T24" s="41">
        <f>'12'!AA32</f>
        <v>0</v>
      </c>
      <c r="U24" s="41">
        <f>'12'!AB32</f>
        <v>0</v>
      </c>
      <c r="V24" s="41">
        <f>'12'!AC32</f>
        <v>0</v>
      </c>
      <c r="W24" s="41">
        <f>'12'!AD32</f>
        <v>0</v>
      </c>
      <c r="X24" s="41">
        <f>'12'!AE32</f>
        <v>0</v>
      </c>
      <c r="Y24" s="41">
        <f>'12'!AF32</f>
        <v>0</v>
      </c>
      <c r="Z24" s="41">
        <f>'12'!AG32</f>
        <v>0</v>
      </c>
      <c r="AA24" s="41">
        <f>'12'!AH32</f>
        <v>0</v>
      </c>
      <c r="AB24" s="41">
        <f>'12'!AI32</f>
        <v>0</v>
      </c>
      <c r="AC24" s="41">
        <f>'12'!AJ32</f>
        <v>0</v>
      </c>
      <c r="AD24" s="41">
        <f>'12'!AK32</f>
        <v>0</v>
      </c>
      <c r="AE24" s="41">
        <f>'12'!AL32</f>
        <v>0</v>
      </c>
      <c r="AF24" s="41">
        <f>'12'!AM32</f>
        <v>0</v>
      </c>
      <c r="AG24" s="41">
        <f>'12'!AN32</f>
        <v>0</v>
      </c>
      <c r="AH24" s="41">
        <f>'12'!AO32</f>
        <v>0</v>
      </c>
      <c r="AI24" s="41">
        <f>'12'!AP32</f>
        <v>0</v>
      </c>
      <c r="AJ24" s="41">
        <f>'12'!AQ32</f>
        <v>0</v>
      </c>
    </row>
    <row r="25" spans="1:36" ht="18" x14ac:dyDescent="0.2">
      <c r="A25" s="21"/>
      <c r="B25" s="23" t="s">
        <v>48</v>
      </c>
      <c r="C25" s="41">
        <f>تسويات!J32</f>
        <v>0</v>
      </c>
      <c r="D25" s="41">
        <f>تسويات!K32</f>
        <v>0</v>
      </c>
      <c r="E25" s="41">
        <f>تسويات!L32</f>
        <v>0</v>
      </c>
      <c r="F25" s="41">
        <f>تسويات!M32</f>
        <v>0</v>
      </c>
      <c r="G25" s="41">
        <f>تسويات!N32</f>
        <v>0</v>
      </c>
      <c r="H25" s="41">
        <f>تسويات!O32</f>
        <v>0</v>
      </c>
      <c r="I25" s="41">
        <f>تسويات!P32</f>
        <v>0</v>
      </c>
      <c r="J25" s="41">
        <f>تسويات!Q32</f>
        <v>0</v>
      </c>
      <c r="K25" s="41">
        <f>تسويات!R32</f>
        <v>0</v>
      </c>
      <c r="L25" s="41">
        <f>تسويات!S32</f>
        <v>0</v>
      </c>
      <c r="M25" s="41">
        <f>تسويات!T32</f>
        <v>0</v>
      </c>
      <c r="N25" s="41">
        <f>تسويات!U32</f>
        <v>0</v>
      </c>
      <c r="O25" s="41">
        <f>تسويات!V32</f>
        <v>0</v>
      </c>
      <c r="P25" s="41">
        <f>تسويات!W32</f>
        <v>0</v>
      </c>
      <c r="Q25" s="41">
        <f>تسويات!X32</f>
        <v>0</v>
      </c>
      <c r="R25" s="41">
        <f>تسويات!Y32</f>
        <v>0</v>
      </c>
      <c r="S25" s="41">
        <f>تسويات!Z32</f>
        <v>0</v>
      </c>
      <c r="T25" s="41">
        <f>تسويات!AA32</f>
        <v>0</v>
      </c>
      <c r="U25" s="41">
        <f>تسويات!AB32</f>
        <v>0</v>
      </c>
      <c r="V25" s="41">
        <f>تسويات!AC32</f>
        <v>0</v>
      </c>
      <c r="W25" s="41">
        <f>تسويات!AD32</f>
        <v>0</v>
      </c>
      <c r="X25" s="41">
        <f>تسويات!AE32</f>
        <v>0</v>
      </c>
      <c r="Y25" s="41">
        <f>تسويات!AF32</f>
        <v>0</v>
      </c>
      <c r="Z25" s="41">
        <f>تسويات!AG32</f>
        <v>0</v>
      </c>
      <c r="AA25" s="41">
        <f>تسويات!AH32</f>
        <v>0</v>
      </c>
      <c r="AB25" s="41">
        <f>تسويات!AI32</f>
        <v>0</v>
      </c>
      <c r="AC25" s="41">
        <f>تسويات!AJ32</f>
        <v>0</v>
      </c>
      <c r="AD25" s="41">
        <f>تسويات!AK32</f>
        <v>0</v>
      </c>
      <c r="AE25" s="41">
        <f>تسويات!AL32</f>
        <v>0</v>
      </c>
      <c r="AF25" s="41">
        <f>تسويات!AM32</f>
        <v>0</v>
      </c>
      <c r="AG25" s="41">
        <f>تسويات!AN32</f>
        <v>0</v>
      </c>
      <c r="AH25" s="41">
        <f>تسويات!AO32</f>
        <v>0</v>
      </c>
      <c r="AI25" s="41">
        <f>تسويات!AP32</f>
        <v>0</v>
      </c>
      <c r="AJ25" s="41">
        <f>تسويات!AQ32</f>
        <v>0</v>
      </c>
    </row>
    <row r="26" spans="1:36" ht="18" x14ac:dyDescent="0.2">
      <c r="A26" s="21"/>
      <c r="B26" s="24" t="s">
        <v>25</v>
      </c>
      <c r="C26" s="42">
        <f>SUM(C12:C25)</f>
        <v>0</v>
      </c>
      <c r="D26" s="42">
        <f t="shared" ref="D26:AJ26" si="0">SUM(D12:D25)</f>
        <v>1000</v>
      </c>
      <c r="E26" s="42">
        <f t="shared" si="0"/>
        <v>0</v>
      </c>
      <c r="F26" s="42">
        <f t="shared" si="0"/>
        <v>1000</v>
      </c>
      <c r="G26" s="42">
        <f t="shared" si="0"/>
        <v>0</v>
      </c>
      <c r="H26" s="42">
        <f t="shared" si="0"/>
        <v>0</v>
      </c>
      <c r="I26" s="42">
        <f t="shared" si="0"/>
        <v>0</v>
      </c>
      <c r="J26" s="42">
        <f t="shared" si="0"/>
        <v>0</v>
      </c>
      <c r="K26" s="42">
        <f t="shared" si="0"/>
        <v>0</v>
      </c>
      <c r="L26" s="42">
        <f t="shared" si="0"/>
        <v>0</v>
      </c>
      <c r="M26" s="42">
        <f t="shared" si="0"/>
        <v>0</v>
      </c>
      <c r="N26" s="42">
        <f t="shared" si="0"/>
        <v>0</v>
      </c>
      <c r="O26" s="42">
        <f t="shared" si="0"/>
        <v>0</v>
      </c>
      <c r="P26" s="42">
        <f t="shared" si="0"/>
        <v>0</v>
      </c>
      <c r="Q26" s="42">
        <f t="shared" si="0"/>
        <v>0</v>
      </c>
      <c r="R26" s="42">
        <f t="shared" si="0"/>
        <v>0</v>
      </c>
      <c r="S26" s="42">
        <f t="shared" si="0"/>
        <v>0</v>
      </c>
      <c r="T26" s="42">
        <f t="shared" si="0"/>
        <v>0</v>
      </c>
      <c r="U26" s="42">
        <f t="shared" si="0"/>
        <v>0</v>
      </c>
      <c r="V26" s="42">
        <f t="shared" si="0"/>
        <v>0</v>
      </c>
      <c r="W26" s="42">
        <f t="shared" si="0"/>
        <v>0</v>
      </c>
      <c r="X26" s="42">
        <f t="shared" si="0"/>
        <v>0</v>
      </c>
      <c r="Y26" s="42">
        <f t="shared" si="0"/>
        <v>0</v>
      </c>
      <c r="Z26" s="42">
        <f t="shared" si="0"/>
        <v>0</v>
      </c>
      <c r="AA26" s="42">
        <f t="shared" si="0"/>
        <v>0</v>
      </c>
      <c r="AB26" s="42">
        <f t="shared" si="0"/>
        <v>0</v>
      </c>
      <c r="AC26" s="42">
        <f t="shared" si="0"/>
        <v>0</v>
      </c>
      <c r="AD26" s="42">
        <f t="shared" si="0"/>
        <v>0</v>
      </c>
      <c r="AE26" s="42">
        <f t="shared" si="0"/>
        <v>0</v>
      </c>
      <c r="AF26" s="42">
        <f t="shared" si="0"/>
        <v>0</v>
      </c>
      <c r="AG26" s="42">
        <f t="shared" si="0"/>
        <v>0</v>
      </c>
      <c r="AH26" s="42">
        <f t="shared" si="0"/>
        <v>0</v>
      </c>
      <c r="AI26" s="42">
        <f t="shared" si="0"/>
        <v>0</v>
      </c>
      <c r="AJ26" s="42">
        <f t="shared" si="0"/>
        <v>0</v>
      </c>
    </row>
  </sheetData>
  <mergeCells count="18">
    <mergeCell ref="W10:X10"/>
    <mergeCell ref="Y10:Z10"/>
    <mergeCell ref="C10:D10"/>
    <mergeCell ref="E10:F10"/>
    <mergeCell ref="G10:H10"/>
    <mergeCell ref="I10:J10"/>
    <mergeCell ref="K10:L10"/>
    <mergeCell ref="M10:N10"/>
    <mergeCell ref="B10:B11"/>
    <mergeCell ref="O10:P10"/>
    <mergeCell ref="Q10:R10"/>
    <mergeCell ref="S10:T10"/>
    <mergeCell ref="U10:V10"/>
    <mergeCell ref="AA10:AB10"/>
    <mergeCell ref="AC10:AD10"/>
    <mergeCell ref="AE10:AF10"/>
    <mergeCell ref="AG10:AH10"/>
    <mergeCell ref="AI10:AJ10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rightToLeft="1" topLeftCell="B1" workbookViewId="0">
      <selection activeCell="M19" sqref="M19"/>
    </sheetView>
  </sheetViews>
  <sheetFormatPr defaultRowHeight="14.25" x14ac:dyDescent="0.2"/>
  <cols>
    <col min="1" max="3" width="9" style="20"/>
    <col min="4" max="4" width="3.75" style="20" customWidth="1"/>
    <col min="5" max="5" width="19" style="20" customWidth="1"/>
    <col min="6" max="7" width="15.625" style="20" bestFit="1" customWidth="1"/>
    <col min="8" max="8" width="13.75" style="20" bestFit="1" customWidth="1"/>
    <col min="9" max="9" width="13.625" style="20" bestFit="1" customWidth="1"/>
    <col min="10" max="16384" width="9" style="20"/>
  </cols>
  <sheetData>
    <row r="1" spans="1:19" ht="20.25" x14ac:dyDescent="0.2">
      <c r="A1" s="26"/>
      <c r="B1" s="26"/>
      <c r="D1" s="19"/>
      <c r="E1" s="19"/>
      <c r="Q1" s="26"/>
      <c r="R1" s="26"/>
      <c r="S1" s="26"/>
    </row>
    <row r="2" spans="1:19" ht="20.25" x14ac:dyDescent="0.2">
      <c r="A2" s="26"/>
      <c r="B2" s="26"/>
      <c r="D2" s="19"/>
      <c r="E2" s="19"/>
      <c r="Q2" s="26"/>
      <c r="R2" s="26"/>
      <c r="S2" s="26"/>
    </row>
    <row r="3" spans="1:19" ht="20.25" x14ac:dyDescent="0.2">
      <c r="A3" s="26"/>
      <c r="B3" s="26"/>
      <c r="D3" s="19"/>
      <c r="E3" s="19"/>
      <c r="Q3" s="26"/>
      <c r="R3" s="26"/>
      <c r="S3" s="26"/>
    </row>
    <row r="4" spans="1:19" x14ac:dyDescent="0.2">
      <c r="A4" s="26"/>
      <c r="B4" s="26"/>
      <c r="Q4" s="26"/>
      <c r="R4" s="26"/>
      <c r="S4" s="26"/>
    </row>
    <row r="5" spans="1:19" x14ac:dyDescent="0.2">
      <c r="A5" s="26"/>
      <c r="B5" s="26"/>
      <c r="Q5" s="26"/>
      <c r="R5" s="26"/>
      <c r="S5" s="26"/>
    </row>
    <row r="6" spans="1:19" x14ac:dyDescent="0.2">
      <c r="A6" s="26"/>
      <c r="B6" s="26"/>
      <c r="Q6" s="26"/>
      <c r="R6" s="26"/>
      <c r="S6" s="26"/>
    </row>
    <row r="7" spans="1:19" ht="6" customHeight="1" x14ac:dyDescent="0.2">
      <c r="A7" s="26"/>
      <c r="B7" s="26"/>
      <c r="Q7" s="26"/>
      <c r="R7" s="26"/>
      <c r="S7" s="26"/>
    </row>
    <row r="8" spans="1:19" x14ac:dyDescent="0.2">
      <c r="A8" s="26"/>
      <c r="B8" s="26"/>
      <c r="Q8" s="26"/>
      <c r="R8" s="26"/>
      <c r="S8" s="26"/>
    </row>
    <row r="9" spans="1:19" ht="18" x14ac:dyDescent="0.2">
      <c r="A9" s="26"/>
      <c r="B9" s="26"/>
      <c r="D9" s="56" t="s">
        <v>0</v>
      </c>
      <c r="E9" s="56" t="s">
        <v>35</v>
      </c>
      <c r="F9" s="55" t="s">
        <v>50</v>
      </c>
      <c r="G9" s="55"/>
      <c r="H9" s="55" t="s">
        <v>51</v>
      </c>
      <c r="I9" s="55"/>
      <c r="Q9" s="26"/>
      <c r="R9" s="26"/>
      <c r="S9" s="26"/>
    </row>
    <row r="10" spans="1:19" ht="18" x14ac:dyDescent="0.2">
      <c r="A10" s="26"/>
      <c r="B10" s="26"/>
      <c r="D10" s="56"/>
      <c r="E10" s="56"/>
      <c r="F10" s="22" t="str">
        <f>'ارصده افتتاحيه'!J11</f>
        <v xml:space="preserve">مدين </v>
      </c>
      <c r="G10" s="22" t="str">
        <f>'ارصده افتتاحيه'!K11</f>
        <v>دائن</v>
      </c>
      <c r="H10" s="22" t="str">
        <f>'ارصده افتتاحيه'!L11</f>
        <v xml:space="preserve">مدين </v>
      </c>
      <c r="I10" s="22" t="str">
        <f>'ارصده افتتاحيه'!M11</f>
        <v>دائن</v>
      </c>
      <c r="Q10" s="26"/>
      <c r="R10" s="26"/>
      <c r="S10" s="26"/>
    </row>
    <row r="11" spans="1:19" ht="18" x14ac:dyDescent="0.2">
      <c r="A11" s="26"/>
      <c r="B11" s="26"/>
      <c r="D11" s="27"/>
      <c r="E11" s="43" t="s">
        <v>28</v>
      </c>
      <c r="F11" s="43">
        <f>INDEX('الاستاذ العام'!$E$26:$AJ$26,,MATCH('ميزان المراجعه'!E11,'الاستاذ العام'!$E$10:$AJ$10,0))</f>
        <v>0</v>
      </c>
      <c r="G11" s="43">
        <f>INDEX('الاستاذ العام'!$E$26:$AJ$26,,MATCH('ميزان المراجعه'!E11,'الاستاذ العام'!$E$10:$AJ$10,0)+1)</f>
        <v>1000</v>
      </c>
      <c r="H11" s="43">
        <f>IF(F11&gt;G11,F11-G11,0)</f>
        <v>0</v>
      </c>
      <c r="I11" s="43">
        <f>IF(F11&lt;G11,G11-F11,0)</f>
        <v>1000</v>
      </c>
      <c r="Q11" s="26"/>
      <c r="R11" s="26"/>
      <c r="S11" s="26"/>
    </row>
    <row r="12" spans="1:19" ht="18" x14ac:dyDescent="0.2">
      <c r="A12" s="26"/>
      <c r="B12" s="26"/>
      <c r="D12" s="27"/>
      <c r="E12" s="43" t="s">
        <v>3</v>
      </c>
      <c r="F12" s="43">
        <f>INDEX('الاستاذ العام'!$E$26:$AJ$26,,MATCH('ميزان المراجعه'!E12,'الاستاذ العام'!$E$10:$AJ$10,0))</f>
        <v>0</v>
      </c>
      <c r="G12" s="43">
        <f>INDEX('الاستاذ العام'!$E$26:$AJ$26,,MATCH('ميزان المراجعه'!E12,'الاستاذ العام'!$E$10:$AJ$10,0)+1)</f>
        <v>0</v>
      </c>
      <c r="H12" s="43">
        <f t="shared" ref="H12:H25" si="0">IF(F12&gt;G12,F12-G12,0)</f>
        <v>0</v>
      </c>
      <c r="I12" s="43">
        <f t="shared" ref="I12:I25" si="1">IF(F12&lt;G12,G12-F12,0)</f>
        <v>0</v>
      </c>
      <c r="Q12" s="26"/>
      <c r="R12" s="26"/>
      <c r="S12" s="26"/>
    </row>
    <row r="13" spans="1:19" ht="18" x14ac:dyDescent="0.2">
      <c r="A13" s="26"/>
      <c r="B13" s="26"/>
      <c r="D13" s="27"/>
      <c r="E13" s="43" t="s">
        <v>4</v>
      </c>
      <c r="F13" s="43">
        <f>INDEX('الاستاذ العام'!$E$26:$AJ$26,,MATCH('ميزان المراجعه'!E13,'الاستاذ العام'!$E$10:$AJ$10,0))</f>
        <v>0</v>
      </c>
      <c r="G13" s="43">
        <f>INDEX('الاستاذ العام'!$E$26:$AJ$26,,MATCH('ميزان المراجعه'!E13,'الاستاذ العام'!$E$10:$AJ$10,0)+1)</f>
        <v>0</v>
      </c>
      <c r="H13" s="43">
        <f t="shared" si="0"/>
        <v>0</v>
      </c>
      <c r="I13" s="43">
        <f t="shared" si="1"/>
        <v>0</v>
      </c>
      <c r="Q13" s="26"/>
      <c r="R13" s="26"/>
      <c r="S13" s="26"/>
    </row>
    <row r="14" spans="1:19" ht="18" x14ac:dyDescent="0.2">
      <c r="A14" s="26"/>
      <c r="B14" s="26"/>
      <c r="D14" s="27"/>
      <c r="E14" s="43" t="s">
        <v>5</v>
      </c>
      <c r="F14" s="43">
        <f>INDEX('الاستاذ العام'!$E$26:$AJ$26,,MATCH('ميزان المراجعه'!E14,'الاستاذ العام'!$E$10:$AJ$10,0))</f>
        <v>0</v>
      </c>
      <c r="G14" s="43">
        <f>INDEX('الاستاذ العام'!$E$26:$AJ$26,,MATCH('ميزان المراجعه'!E14,'الاستاذ العام'!$E$10:$AJ$10,0)+1)</f>
        <v>0</v>
      </c>
      <c r="H14" s="43">
        <f t="shared" si="0"/>
        <v>0</v>
      </c>
      <c r="I14" s="43">
        <f t="shared" si="1"/>
        <v>0</v>
      </c>
      <c r="Q14" s="26"/>
      <c r="R14" s="26"/>
      <c r="S14" s="26"/>
    </row>
    <row r="15" spans="1:19" ht="18" x14ac:dyDescent="0.2">
      <c r="A15" s="26"/>
      <c r="B15" s="26"/>
      <c r="D15" s="27"/>
      <c r="E15" s="43" t="s">
        <v>6</v>
      </c>
      <c r="F15" s="43">
        <f>INDEX('الاستاذ العام'!$E$26:$AJ$26,,MATCH('ميزان المراجعه'!E15,'الاستاذ العام'!$E$10:$AJ$10,0))</f>
        <v>0</v>
      </c>
      <c r="G15" s="43">
        <f>INDEX('الاستاذ العام'!$E$26:$AJ$26,,MATCH('ميزان المراجعه'!E15,'الاستاذ العام'!$E$10:$AJ$10,0)+1)</f>
        <v>0</v>
      </c>
      <c r="H15" s="43">
        <f t="shared" si="0"/>
        <v>0</v>
      </c>
      <c r="I15" s="43">
        <f t="shared" si="1"/>
        <v>0</v>
      </c>
      <c r="Q15" s="26"/>
      <c r="R15" s="26"/>
      <c r="S15" s="26"/>
    </row>
    <row r="16" spans="1:19" ht="18" x14ac:dyDescent="0.2">
      <c r="A16" s="26"/>
      <c r="B16" s="26"/>
      <c r="D16" s="27"/>
      <c r="E16" s="43" t="s">
        <v>7</v>
      </c>
      <c r="F16" s="43">
        <f>INDEX('الاستاذ العام'!$E$26:$AJ$26,,MATCH('ميزان المراجعه'!E16,'الاستاذ العام'!$E$10:$AJ$10,0))</f>
        <v>0</v>
      </c>
      <c r="G16" s="43">
        <f>INDEX('الاستاذ العام'!$E$26:$AJ$26,,MATCH('ميزان المراجعه'!E16,'الاستاذ العام'!$E$10:$AJ$10,0)+1)</f>
        <v>0</v>
      </c>
      <c r="H16" s="43">
        <f t="shared" si="0"/>
        <v>0</v>
      </c>
      <c r="I16" s="43">
        <f t="shared" si="1"/>
        <v>0</v>
      </c>
      <c r="Q16" s="26"/>
      <c r="R16" s="26"/>
      <c r="S16" s="26"/>
    </row>
    <row r="17" spans="1:19" ht="18" x14ac:dyDescent="0.2">
      <c r="A17" s="26"/>
      <c r="B17" s="26"/>
      <c r="D17" s="27"/>
      <c r="E17" s="43" t="s">
        <v>29</v>
      </c>
      <c r="F17" s="43">
        <f>INDEX('الاستاذ العام'!$E$26:$AJ$26,,MATCH('ميزان المراجعه'!E17,'الاستاذ العام'!$E$10:$AJ$10,0))</f>
        <v>0</v>
      </c>
      <c r="G17" s="43">
        <f>INDEX('الاستاذ العام'!$E$26:$AJ$26,,MATCH('ميزان المراجعه'!E17,'الاستاذ العام'!$E$10:$AJ$10,0)+1)</f>
        <v>0</v>
      </c>
      <c r="H17" s="43">
        <f t="shared" si="0"/>
        <v>0</v>
      </c>
      <c r="I17" s="43">
        <f t="shared" si="1"/>
        <v>0</v>
      </c>
      <c r="Q17" s="26"/>
      <c r="R17" s="26"/>
      <c r="S17" s="26"/>
    </row>
    <row r="18" spans="1:19" ht="18" x14ac:dyDescent="0.2">
      <c r="A18" s="26"/>
      <c r="B18" s="26"/>
      <c r="D18" s="27"/>
      <c r="E18" s="43" t="s">
        <v>30</v>
      </c>
      <c r="F18" s="43">
        <f>INDEX('الاستاذ العام'!$E$26:$AJ$26,,MATCH('ميزان المراجعه'!E18,'الاستاذ العام'!$E$10:$AJ$10,0))</f>
        <v>0</v>
      </c>
      <c r="G18" s="43">
        <f>INDEX('الاستاذ العام'!$E$26:$AJ$26,,MATCH('ميزان المراجعه'!E18,'الاستاذ العام'!$E$10:$AJ$10,0)+1)</f>
        <v>0</v>
      </c>
      <c r="H18" s="43">
        <f t="shared" si="0"/>
        <v>0</v>
      </c>
      <c r="I18" s="43">
        <f t="shared" si="1"/>
        <v>0</v>
      </c>
      <c r="Q18" s="26"/>
      <c r="R18" s="26"/>
      <c r="S18" s="26"/>
    </row>
    <row r="19" spans="1:19" ht="18" x14ac:dyDescent="0.2">
      <c r="A19" s="26"/>
      <c r="B19" s="26"/>
      <c r="D19" s="27"/>
      <c r="E19" s="43" t="s">
        <v>10</v>
      </c>
      <c r="F19" s="43">
        <f>INDEX('الاستاذ العام'!$E$26:$AJ$26,,MATCH('ميزان المراجعه'!E19,'الاستاذ العام'!$E$10:$AJ$10,0))</f>
        <v>0</v>
      </c>
      <c r="G19" s="43">
        <f>INDEX('الاستاذ العام'!$E$26:$AJ$26,,MATCH('ميزان المراجعه'!E19,'الاستاذ العام'!$E$10:$AJ$10,0)+1)</f>
        <v>0</v>
      </c>
      <c r="H19" s="43">
        <f t="shared" si="0"/>
        <v>0</v>
      </c>
      <c r="I19" s="43">
        <f t="shared" si="1"/>
        <v>0</v>
      </c>
      <c r="Q19" s="26"/>
      <c r="R19" s="26"/>
      <c r="S19" s="26"/>
    </row>
    <row r="20" spans="1:19" ht="18" x14ac:dyDescent="0.2">
      <c r="A20" s="26"/>
      <c r="B20" s="26"/>
      <c r="D20" s="27"/>
      <c r="E20" s="43" t="s">
        <v>11</v>
      </c>
      <c r="F20" s="43">
        <f>INDEX('الاستاذ العام'!$E$26:$AJ$26,,MATCH('ميزان المراجعه'!E20,'الاستاذ العام'!$E$10:$AJ$10,0))</f>
        <v>0</v>
      </c>
      <c r="G20" s="43">
        <f>INDEX('الاستاذ العام'!$E$26:$AJ$26,,MATCH('ميزان المراجعه'!E20,'الاستاذ العام'!$E$10:$AJ$10,0)+1)</f>
        <v>0</v>
      </c>
      <c r="H20" s="43">
        <f t="shared" si="0"/>
        <v>0</v>
      </c>
      <c r="I20" s="43">
        <f t="shared" si="1"/>
        <v>0</v>
      </c>
      <c r="Q20" s="26"/>
      <c r="R20" s="26"/>
      <c r="S20" s="26"/>
    </row>
    <row r="21" spans="1:19" ht="18" x14ac:dyDescent="0.2">
      <c r="A21" s="26"/>
      <c r="B21" s="26"/>
      <c r="D21" s="27"/>
      <c r="E21" s="43" t="s">
        <v>12</v>
      </c>
      <c r="F21" s="43">
        <f>INDEX('الاستاذ العام'!$E$26:$AJ$26,,MATCH('ميزان المراجعه'!E21,'الاستاذ العام'!$E$10:$AJ$10,0))</f>
        <v>0</v>
      </c>
      <c r="G21" s="43">
        <f>INDEX('الاستاذ العام'!$E$26:$AJ$26,,MATCH('ميزان المراجعه'!E21,'الاستاذ العام'!$E$10:$AJ$10,0)+1)</f>
        <v>0</v>
      </c>
      <c r="H21" s="43">
        <f t="shared" si="0"/>
        <v>0</v>
      </c>
      <c r="I21" s="43">
        <f t="shared" si="1"/>
        <v>0</v>
      </c>
      <c r="Q21" s="26"/>
      <c r="R21" s="26"/>
      <c r="S21" s="26"/>
    </row>
    <row r="22" spans="1:19" ht="18" x14ac:dyDescent="0.2">
      <c r="A22" s="26"/>
      <c r="B22" s="26"/>
      <c r="D22" s="27"/>
      <c r="E22" s="43" t="s">
        <v>31</v>
      </c>
      <c r="F22" s="43">
        <f>INDEX('الاستاذ العام'!$E$26:$AJ$26,,MATCH('ميزان المراجعه'!E22,'الاستاذ العام'!$E$10:$AJ$10,0))</f>
        <v>0</v>
      </c>
      <c r="G22" s="43">
        <f>INDEX('الاستاذ العام'!$E$26:$AJ$26,,MATCH('ميزان المراجعه'!E22,'الاستاذ العام'!$E$10:$AJ$10,0)+1)</f>
        <v>0</v>
      </c>
      <c r="H22" s="43">
        <f t="shared" si="0"/>
        <v>0</v>
      </c>
      <c r="I22" s="43">
        <f t="shared" si="1"/>
        <v>0</v>
      </c>
      <c r="Q22" s="26"/>
      <c r="R22" s="26"/>
      <c r="S22" s="26"/>
    </row>
    <row r="23" spans="1:19" ht="18" x14ac:dyDescent="0.2">
      <c r="A23" s="26"/>
      <c r="B23" s="26"/>
      <c r="D23" s="27"/>
      <c r="E23" s="43" t="s">
        <v>32</v>
      </c>
      <c r="F23" s="43">
        <f>INDEX('الاستاذ العام'!$E$26:$AJ$26,,MATCH('ميزان المراجعه'!E23,'الاستاذ العام'!$E$10:$AJ$10,0))</f>
        <v>0</v>
      </c>
      <c r="G23" s="43">
        <f>INDEX('الاستاذ العام'!$E$26:$AJ$26,,MATCH('ميزان المراجعه'!E23,'الاستاذ العام'!$E$10:$AJ$10,0)+1)</f>
        <v>0</v>
      </c>
      <c r="H23" s="43">
        <f t="shared" si="0"/>
        <v>0</v>
      </c>
      <c r="I23" s="43">
        <f t="shared" si="1"/>
        <v>0</v>
      </c>
      <c r="Q23" s="26"/>
      <c r="R23" s="26"/>
      <c r="S23" s="26"/>
    </row>
    <row r="24" spans="1:19" ht="18" x14ac:dyDescent="0.2">
      <c r="A24" s="26"/>
      <c r="B24" s="26"/>
      <c r="D24" s="27"/>
      <c r="E24" s="43" t="s">
        <v>33</v>
      </c>
      <c r="F24" s="43">
        <f>INDEX('الاستاذ العام'!$E$26:$AJ$26,,MATCH('ميزان المراجعه'!E24,'الاستاذ العام'!$E$10:$AJ$10,0))</f>
        <v>0</v>
      </c>
      <c r="G24" s="43">
        <f>INDEX('الاستاذ العام'!$E$26:$AJ$26,,MATCH('ميزان المراجعه'!E24,'الاستاذ العام'!$E$10:$AJ$10,0)+1)</f>
        <v>0</v>
      </c>
      <c r="H24" s="43">
        <f t="shared" si="0"/>
        <v>0</v>
      </c>
      <c r="I24" s="43">
        <f t="shared" si="1"/>
        <v>0</v>
      </c>
      <c r="Q24" s="26"/>
      <c r="R24" s="26"/>
      <c r="S24" s="26"/>
    </row>
    <row r="25" spans="1:19" ht="18" x14ac:dyDescent="0.2">
      <c r="A25" s="26"/>
      <c r="B25" s="26"/>
      <c r="D25" s="27"/>
      <c r="E25" s="43" t="s">
        <v>34</v>
      </c>
      <c r="F25" s="43">
        <f>INDEX('الاستاذ العام'!$E$26:$AJ$26,,MATCH('ميزان المراجعه'!E25,'الاستاذ العام'!$E$10:$AJ$10,0))</f>
        <v>0</v>
      </c>
      <c r="G25" s="43">
        <f>INDEX('الاستاذ العام'!$E$26:$AJ$26,,MATCH('ميزان المراجعه'!E25,'الاستاذ العام'!$E$10:$AJ$10,0)+1)</f>
        <v>0</v>
      </c>
      <c r="H25" s="43">
        <f t="shared" si="0"/>
        <v>0</v>
      </c>
      <c r="I25" s="43">
        <f t="shared" si="1"/>
        <v>0</v>
      </c>
      <c r="Q25" s="26"/>
      <c r="R25" s="26"/>
      <c r="S25" s="26"/>
    </row>
    <row r="26" spans="1:19" ht="18" x14ac:dyDescent="0.2">
      <c r="A26" s="26"/>
      <c r="B26" s="26"/>
      <c r="D26" s="25"/>
      <c r="E26" s="25" t="s">
        <v>25</v>
      </c>
      <c r="F26" s="24">
        <f>SUM(F11:F25)</f>
        <v>0</v>
      </c>
      <c r="G26" s="24">
        <f>SUM(G11:G25)</f>
        <v>1000</v>
      </c>
      <c r="H26" s="24">
        <f>SUM(H11:H25)</f>
        <v>0</v>
      </c>
      <c r="I26" s="24">
        <f>SUM(I11:I25)</f>
        <v>1000</v>
      </c>
      <c r="Q26" s="26"/>
      <c r="R26" s="26"/>
      <c r="S26" s="26"/>
    </row>
    <row r="27" spans="1:19" x14ac:dyDescent="0.2">
      <c r="A27" s="26"/>
      <c r="B27" s="26"/>
      <c r="Q27" s="26"/>
      <c r="R27" s="26"/>
      <c r="S27" s="26"/>
    </row>
    <row r="28" spans="1:19" x14ac:dyDescent="0.2">
      <c r="A28" s="26"/>
      <c r="B28" s="26"/>
      <c r="Q28" s="26"/>
      <c r="R28" s="26"/>
      <c r="S28" s="26"/>
    </row>
    <row r="29" spans="1:19" x14ac:dyDescent="0.2">
      <c r="A29" s="26"/>
      <c r="B29" s="26"/>
      <c r="Q29" s="26"/>
      <c r="R29" s="26"/>
      <c r="S29" s="26"/>
    </row>
    <row r="30" spans="1:19" x14ac:dyDescent="0.2">
      <c r="A30" s="26"/>
      <c r="B30" s="26"/>
      <c r="Q30" s="26"/>
      <c r="R30" s="26"/>
      <c r="S30" s="26"/>
    </row>
    <row r="31" spans="1:19" x14ac:dyDescent="0.2">
      <c r="A31" s="26"/>
      <c r="B31" s="26"/>
      <c r="Q31" s="26"/>
      <c r="R31" s="26"/>
      <c r="S31" s="26"/>
    </row>
    <row r="32" spans="1:19" x14ac:dyDescent="0.2">
      <c r="A32" s="26"/>
      <c r="B32" s="26"/>
      <c r="Q32" s="26"/>
      <c r="R32" s="26"/>
      <c r="S32" s="26"/>
    </row>
    <row r="33" spans="1:19" x14ac:dyDescent="0.2">
      <c r="A33" s="26"/>
      <c r="B33" s="26"/>
      <c r="Q33" s="26"/>
      <c r="R33" s="26"/>
      <c r="S33" s="26"/>
    </row>
    <row r="34" spans="1:19" x14ac:dyDescent="0.2">
      <c r="A34" s="26"/>
      <c r="B34" s="26"/>
    </row>
  </sheetData>
  <mergeCells count="4">
    <mergeCell ref="D9:D10"/>
    <mergeCell ref="E9:E10"/>
    <mergeCell ref="F9:G9"/>
    <mergeCell ref="H9:I9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rightToLeft="1" topLeftCell="B1" workbookViewId="0">
      <selection activeCell="N20" sqref="N20"/>
    </sheetView>
  </sheetViews>
  <sheetFormatPr defaultRowHeight="14.25" x14ac:dyDescent="0.2"/>
  <cols>
    <col min="1" max="2" width="9" style="20"/>
    <col min="3" max="3" width="2.875" style="20" customWidth="1"/>
    <col min="4" max="4" width="4.625" style="20" bestFit="1" customWidth="1"/>
    <col min="5" max="5" width="15.625" style="20" customWidth="1"/>
    <col min="6" max="6" width="7.625" style="20" customWidth="1"/>
    <col min="7" max="7" width="15.625" style="20" bestFit="1" customWidth="1"/>
    <col min="8" max="8" width="13.75" style="20" bestFit="1" customWidth="1"/>
    <col min="9" max="9" width="8.25" style="20" customWidth="1"/>
    <col min="10" max="10" width="12.5" style="20" customWidth="1"/>
    <col min="11" max="11" width="9" style="20"/>
    <col min="12" max="12" width="11.25" style="20" bestFit="1" customWidth="1"/>
    <col min="13" max="13" width="10.125" style="20" bestFit="1" customWidth="1"/>
    <col min="14" max="14" width="11.25" style="20" bestFit="1" customWidth="1"/>
    <col min="15" max="15" width="2" style="20" customWidth="1"/>
    <col min="16" max="16" width="12.25" style="20" bestFit="1" customWidth="1"/>
    <col min="17" max="17" width="12.375" style="20" bestFit="1" customWidth="1"/>
    <col min="18" max="18" width="6.375" style="20" bestFit="1" customWidth="1"/>
    <col min="19" max="19" width="11.25" style="20" bestFit="1" customWidth="1"/>
    <col min="20" max="16384" width="9" style="20"/>
  </cols>
  <sheetData>
    <row r="1" spans="1:22" ht="20.25" x14ac:dyDescent="0.2">
      <c r="A1" s="26"/>
      <c r="B1" s="36"/>
      <c r="C1" s="26"/>
      <c r="D1" s="19"/>
      <c r="E1" s="19"/>
      <c r="U1" s="26"/>
      <c r="V1" s="26"/>
    </row>
    <row r="2" spans="1:22" ht="20.25" x14ac:dyDescent="0.2">
      <c r="A2" s="26"/>
      <c r="B2" s="36"/>
      <c r="C2" s="26"/>
      <c r="D2" s="19"/>
      <c r="E2" s="19"/>
      <c r="U2" s="26"/>
      <c r="V2" s="26"/>
    </row>
    <row r="3" spans="1:22" ht="20.25" x14ac:dyDescent="0.2">
      <c r="A3" s="26"/>
      <c r="B3" s="36"/>
      <c r="C3" s="26"/>
      <c r="D3" s="19"/>
      <c r="E3" s="19"/>
      <c r="U3" s="26"/>
      <c r="V3" s="26"/>
    </row>
    <row r="4" spans="1:22" x14ac:dyDescent="0.2">
      <c r="A4" s="26"/>
      <c r="B4" s="36"/>
      <c r="C4" s="26"/>
      <c r="U4" s="26"/>
      <c r="V4" s="26"/>
    </row>
    <row r="5" spans="1:22" x14ac:dyDescent="0.2">
      <c r="A5" s="26"/>
      <c r="B5" s="36"/>
      <c r="C5" s="26"/>
      <c r="U5" s="26"/>
      <c r="V5" s="26"/>
    </row>
    <row r="6" spans="1:22" x14ac:dyDescent="0.2">
      <c r="A6" s="26"/>
      <c r="B6" s="36"/>
      <c r="C6" s="26"/>
      <c r="U6" s="26"/>
      <c r="V6" s="26"/>
    </row>
    <row r="7" spans="1:22" ht="6" customHeight="1" x14ac:dyDescent="0.2">
      <c r="A7" s="26"/>
      <c r="B7" s="36"/>
      <c r="C7" s="26"/>
      <c r="U7" s="26"/>
      <c r="V7" s="26"/>
    </row>
    <row r="8" spans="1:22" ht="15.75" x14ac:dyDescent="0.2">
      <c r="A8" s="26"/>
      <c r="B8" s="36"/>
      <c r="C8" s="26"/>
      <c r="P8" s="57" t="s">
        <v>68</v>
      </c>
      <c r="Q8" s="57"/>
      <c r="R8" s="57"/>
      <c r="S8" s="57"/>
      <c r="U8" s="26"/>
      <c r="V8" s="26"/>
    </row>
    <row r="9" spans="1:22" ht="24.75" customHeight="1" x14ac:dyDescent="0.2">
      <c r="A9" s="26"/>
      <c r="B9" s="36"/>
      <c r="C9" s="26"/>
      <c r="D9" s="30" t="s">
        <v>0</v>
      </c>
      <c r="E9" s="30" t="s">
        <v>52</v>
      </c>
      <c r="F9" s="30" t="s">
        <v>35</v>
      </c>
      <c r="G9" s="30" t="s">
        <v>53</v>
      </c>
      <c r="H9" s="30" t="s">
        <v>4</v>
      </c>
      <c r="I9" s="30" t="s">
        <v>54</v>
      </c>
      <c r="J9" s="31" t="s">
        <v>25</v>
      </c>
      <c r="K9" s="31" t="s">
        <v>55</v>
      </c>
      <c r="L9" s="31" t="s">
        <v>56</v>
      </c>
      <c r="M9" s="31" t="s">
        <v>57</v>
      </c>
      <c r="N9" s="37" t="s">
        <v>58</v>
      </c>
      <c r="O9" s="35"/>
      <c r="P9" s="38" t="s">
        <v>59</v>
      </c>
      <c r="Q9" s="38" t="s">
        <v>58</v>
      </c>
      <c r="R9" s="38" t="s">
        <v>35</v>
      </c>
      <c r="S9" s="38" t="s">
        <v>58</v>
      </c>
      <c r="U9" s="26"/>
      <c r="V9" s="26"/>
    </row>
    <row r="10" spans="1:22" ht="15.75" x14ac:dyDescent="0.2">
      <c r="A10" s="26"/>
      <c r="B10" s="36"/>
      <c r="C10" s="26"/>
      <c r="D10" s="30">
        <v>1</v>
      </c>
      <c r="E10" s="33">
        <v>45689</v>
      </c>
      <c r="F10" s="28">
        <f>MONTH(E10)</f>
        <v>2</v>
      </c>
      <c r="G10" s="28" t="s">
        <v>63</v>
      </c>
      <c r="H10" s="28">
        <v>4000</v>
      </c>
      <c r="I10" s="28">
        <f>H10*15%</f>
        <v>600</v>
      </c>
      <c r="J10" s="29">
        <f>H10+I10</f>
        <v>4600</v>
      </c>
      <c r="K10" s="29">
        <v>150</v>
      </c>
      <c r="L10" s="29">
        <f>J10-K10</f>
        <v>4450</v>
      </c>
      <c r="M10" s="29">
        <v>1600</v>
      </c>
      <c r="N10" s="32">
        <f>L10-M10</f>
        <v>2850</v>
      </c>
      <c r="O10" s="35"/>
      <c r="P10" s="34" t="s">
        <v>60</v>
      </c>
      <c r="Q10" s="34">
        <f>SUMIF($G$10:$G$25,P10,$N$10:$N$25)</f>
        <v>32565</v>
      </c>
      <c r="R10" s="39">
        <v>2</v>
      </c>
      <c r="S10" s="40">
        <f>SUMIF($F$10:$F$25,R10,$N$10:$N$25)</f>
        <v>2850</v>
      </c>
      <c r="U10" s="26"/>
      <c r="V10" s="26"/>
    </row>
    <row r="11" spans="1:22" ht="15.75" x14ac:dyDescent="0.2">
      <c r="A11" s="26"/>
      <c r="B11" s="36"/>
      <c r="C11" s="26"/>
      <c r="D11" s="30">
        <v>2</v>
      </c>
      <c r="E11" s="33">
        <v>45749</v>
      </c>
      <c r="F11" s="28">
        <f>MONTH(E11)</f>
        <v>4</v>
      </c>
      <c r="G11" s="28" t="s">
        <v>62</v>
      </c>
      <c r="H11" s="28">
        <v>65000</v>
      </c>
      <c r="I11" s="28">
        <f t="shared" ref="I11:I24" si="0">H11*15%</f>
        <v>9750</v>
      </c>
      <c r="J11" s="29">
        <f t="shared" ref="J11:J25" si="1">H11+I11</f>
        <v>74750</v>
      </c>
      <c r="K11" s="29"/>
      <c r="L11" s="29">
        <f t="shared" ref="L11:L25" si="2">J11-K11</f>
        <v>74750</v>
      </c>
      <c r="M11" s="29"/>
      <c r="N11" s="32">
        <f t="shared" ref="N11:N25" si="3">L11-M11</f>
        <v>74750</v>
      </c>
      <c r="O11" s="35"/>
      <c r="P11" s="34" t="s">
        <v>61</v>
      </c>
      <c r="Q11" s="34">
        <f t="shared" ref="Q11:Q25" si="4">SUMIF($G$10:$G$25,P11,$N$10:$N$25)</f>
        <v>0</v>
      </c>
      <c r="R11" s="39">
        <v>9</v>
      </c>
      <c r="S11" s="40">
        <f t="shared" ref="S11:S25" si="5">SUMIF($F$10:$F$25,R11,$N$10:$N$25)</f>
        <v>43748</v>
      </c>
      <c r="U11" s="26"/>
      <c r="V11" s="26"/>
    </row>
    <row r="12" spans="1:22" ht="15.75" x14ac:dyDescent="0.2">
      <c r="A12" s="26"/>
      <c r="B12" s="36"/>
      <c r="C12" s="26"/>
      <c r="D12" s="30">
        <v>3</v>
      </c>
      <c r="E12" s="33">
        <v>45778</v>
      </c>
      <c r="F12" s="28">
        <f>MONTH(E12)</f>
        <v>5</v>
      </c>
      <c r="G12" s="28" t="s">
        <v>65</v>
      </c>
      <c r="H12" s="28">
        <v>7000</v>
      </c>
      <c r="I12" s="28">
        <f t="shared" si="0"/>
        <v>1050</v>
      </c>
      <c r="J12" s="29">
        <f t="shared" si="1"/>
        <v>8050</v>
      </c>
      <c r="K12" s="29">
        <v>250</v>
      </c>
      <c r="L12" s="29">
        <f t="shared" si="2"/>
        <v>7800</v>
      </c>
      <c r="M12" s="29">
        <v>1875</v>
      </c>
      <c r="N12" s="32">
        <f t="shared" si="3"/>
        <v>5925</v>
      </c>
      <c r="O12" s="35"/>
      <c r="P12" s="34" t="s">
        <v>62</v>
      </c>
      <c r="Q12" s="34">
        <f t="shared" si="4"/>
        <v>74750</v>
      </c>
      <c r="R12" s="39">
        <v>3</v>
      </c>
      <c r="S12" s="40">
        <f t="shared" si="5"/>
        <v>0</v>
      </c>
      <c r="U12" s="26"/>
      <c r="V12" s="26"/>
    </row>
    <row r="13" spans="1:22" ht="15.75" x14ac:dyDescent="0.2">
      <c r="A13" s="26"/>
      <c r="B13" s="36"/>
      <c r="C13" s="26"/>
      <c r="D13" s="30">
        <v>4</v>
      </c>
      <c r="E13" s="33">
        <v>45810</v>
      </c>
      <c r="F13" s="28">
        <f>MONTH(E13)</f>
        <v>6</v>
      </c>
      <c r="G13" s="28" t="s">
        <v>60</v>
      </c>
      <c r="H13" s="28">
        <v>30000</v>
      </c>
      <c r="I13" s="28">
        <f t="shared" si="0"/>
        <v>4500</v>
      </c>
      <c r="J13" s="29">
        <f t="shared" si="1"/>
        <v>34500</v>
      </c>
      <c r="K13" s="29">
        <v>300</v>
      </c>
      <c r="L13" s="29">
        <f t="shared" si="2"/>
        <v>34200</v>
      </c>
      <c r="M13" s="29">
        <v>1635</v>
      </c>
      <c r="N13" s="32">
        <f t="shared" si="3"/>
        <v>32565</v>
      </c>
      <c r="O13" s="35"/>
      <c r="P13" s="34" t="s">
        <v>63</v>
      </c>
      <c r="Q13" s="34">
        <f t="shared" si="4"/>
        <v>2850</v>
      </c>
      <c r="R13" s="39">
        <v>4</v>
      </c>
      <c r="S13" s="40">
        <f t="shared" si="5"/>
        <v>74750</v>
      </c>
      <c r="U13" s="26"/>
      <c r="V13" s="26"/>
    </row>
    <row r="14" spans="1:22" ht="15.75" x14ac:dyDescent="0.2">
      <c r="A14" s="26"/>
      <c r="B14" s="36"/>
      <c r="C14" s="26"/>
      <c r="D14" s="30">
        <v>5</v>
      </c>
      <c r="E14" s="33">
        <v>45930</v>
      </c>
      <c r="F14" s="28">
        <f>MONTH(E14)</f>
        <v>9</v>
      </c>
      <c r="G14" s="28" t="s">
        <v>64</v>
      </c>
      <c r="H14" s="28">
        <v>40000</v>
      </c>
      <c r="I14" s="28">
        <f t="shared" si="0"/>
        <v>6000</v>
      </c>
      <c r="J14" s="29">
        <f t="shared" si="1"/>
        <v>46000</v>
      </c>
      <c r="K14" s="29">
        <v>200</v>
      </c>
      <c r="L14" s="29">
        <f t="shared" si="2"/>
        <v>45800</v>
      </c>
      <c r="M14" s="29">
        <v>2052</v>
      </c>
      <c r="N14" s="32">
        <f t="shared" si="3"/>
        <v>43748</v>
      </c>
      <c r="O14" s="35"/>
      <c r="P14" s="34" t="s">
        <v>64</v>
      </c>
      <c r="Q14" s="34">
        <f t="shared" si="4"/>
        <v>43748</v>
      </c>
      <c r="R14" s="39">
        <v>6</v>
      </c>
      <c r="S14" s="40">
        <f t="shared" si="5"/>
        <v>32565</v>
      </c>
      <c r="U14" s="26"/>
      <c r="V14" s="26"/>
    </row>
    <row r="15" spans="1:22" ht="15.75" x14ac:dyDescent="0.2">
      <c r="A15" s="26"/>
      <c r="B15" s="36"/>
      <c r="C15" s="26"/>
      <c r="D15" s="30">
        <v>6</v>
      </c>
      <c r="E15" s="33"/>
      <c r="F15" s="28"/>
      <c r="G15" s="28"/>
      <c r="H15" s="28"/>
      <c r="I15" s="28">
        <f t="shared" si="0"/>
        <v>0</v>
      </c>
      <c r="J15" s="29">
        <f t="shared" si="1"/>
        <v>0</v>
      </c>
      <c r="K15" s="29"/>
      <c r="L15" s="29">
        <f t="shared" si="2"/>
        <v>0</v>
      </c>
      <c r="M15" s="29"/>
      <c r="N15" s="32">
        <f t="shared" si="3"/>
        <v>0</v>
      </c>
      <c r="O15" s="35"/>
      <c r="P15" s="34" t="s">
        <v>65</v>
      </c>
      <c r="Q15" s="34">
        <f t="shared" si="4"/>
        <v>5925</v>
      </c>
      <c r="R15" s="39">
        <v>5</v>
      </c>
      <c r="S15" s="40">
        <f t="shared" si="5"/>
        <v>5925</v>
      </c>
      <c r="U15" s="26"/>
      <c r="V15" s="26"/>
    </row>
    <row r="16" spans="1:22" ht="15.75" x14ac:dyDescent="0.2">
      <c r="A16" s="26"/>
      <c r="B16" s="36"/>
      <c r="C16" s="26"/>
      <c r="D16" s="30">
        <v>7</v>
      </c>
      <c r="E16" s="33"/>
      <c r="F16" s="28"/>
      <c r="G16" s="28"/>
      <c r="H16" s="28"/>
      <c r="I16" s="28">
        <f t="shared" si="0"/>
        <v>0</v>
      </c>
      <c r="J16" s="29">
        <f t="shared" si="1"/>
        <v>0</v>
      </c>
      <c r="K16" s="29"/>
      <c r="L16" s="29">
        <f t="shared" si="2"/>
        <v>0</v>
      </c>
      <c r="M16" s="29"/>
      <c r="N16" s="32">
        <f t="shared" si="3"/>
        <v>0</v>
      </c>
      <c r="O16" s="35"/>
      <c r="P16" s="34" t="s">
        <v>66</v>
      </c>
      <c r="Q16" s="34">
        <f t="shared" si="4"/>
        <v>0</v>
      </c>
      <c r="R16" s="40"/>
      <c r="S16" s="40">
        <f t="shared" si="5"/>
        <v>0</v>
      </c>
      <c r="U16" s="26"/>
      <c r="V16" s="26"/>
    </row>
    <row r="17" spans="1:22" ht="15.75" x14ac:dyDescent="0.2">
      <c r="A17" s="26"/>
      <c r="B17" s="36"/>
      <c r="C17" s="26"/>
      <c r="D17" s="30">
        <v>8</v>
      </c>
      <c r="E17" s="33"/>
      <c r="F17" s="28"/>
      <c r="G17" s="28"/>
      <c r="H17" s="28"/>
      <c r="I17" s="28">
        <f t="shared" si="0"/>
        <v>0</v>
      </c>
      <c r="J17" s="29">
        <f t="shared" si="1"/>
        <v>0</v>
      </c>
      <c r="K17" s="29"/>
      <c r="L17" s="29">
        <f t="shared" si="2"/>
        <v>0</v>
      </c>
      <c r="M17" s="29"/>
      <c r="N17" s="32">
        <f t="shared" si="3"/>
        <v>0</v>
      </c>
      <c r="O17" s="35"/>
      <c r="P17" s="34" t="s">
        <v>67</v>
      </c>
      <c r="Q17" s="34">
        <f t="shared" si="4"/>
        <v>0</v>
      </c>
      <c r="R17" s="40"/>
      <c r="S17" s="40">
        <f t="shared" si="5"/>
        <v>0</v>
      </c>
      <c r="U17" s="26"/>
      <c r="V17" s="26"/>
    </row>
    <row r="18" spans="1:22" ht="15.75" x14ac:dyDescent="0.2">
      <c r="A18" s="26"/>
      <c r="B18" s="36"/>
      <c r="C18" s="26"/>
      <c r="D18" s="30">
        <v>9</v>
      </c>
      <c r="E18" s="33"/>
      <c r="F18" s="28"/>
      <c r="G18" s="28"/>
      <c r="H18" s="28"/>
      <c r="I18" s="28">
        <f t="shared" si="0"/>
        <v>0</v>
      </c>
      <c r="J18" s="29">
        <f t="shared" si="1"/>
        <v>0</v>
      </c>
      <c r="K18" s="29"/>
      <c r="L18" s="29">
        <f t="shared" si="2"/>
        <v>0</v>
      </c>
      <c r="M18" s="29"/>
      <c r="N18" s="32">
        <f t="shared" si="3"/>
        <v>0</v>
      </c>
      <c r="O18" s="35"/>
      <c r="P18" s="34"/>
      <c r="Q18" s="34">
        <f>SUMIF($G$10:$G$25,P18,$N$10:$N$25)</f>
        <v>0</v>
      </c>
      <c r="R18" s="40"/>
      <c r="S18" s="40">
        <f t="shared" si="5"/>
        <v>0</v>
      </c>
      <c r="U18" s="26"/>
      <c r="V18" s="26"/>
    </row>
    <row r="19" spans="1:22" ht="15.75" x14ac:dyDescent="0.2">
      <c r="A19" s="26"/>
      <c r="B19" s="36"/>
      <c r="C19" s="26"/>
      <c r="D19" s="30">
        <v>10</v>
      </c>
      <c r="E19" s="33"/>
      <c r="F19" s="28"/>
      <c r="G19" s="28"/>
      <c r="H19" s="28"/>
      <c r="I19" s="28">
        <f t="shared" si="0"/>
        <v>0</v>
      </c>
      <c r="J19" s="29">
        <f t="shared" si="1"/>
        <v>0</v>
      </c>
      <c r="K19" s="29"/>
      <c r="L19" s="29">
        <f t="shared" si="2"/>
        <v>0</v>
      </c>
      <c r="M19" s="29"/>
      <c r="N19" s="32">
        <f t="shared" si="3"/>
        <v>0</v>
      </c>
      <c r="O19" s="35"/>
      <c r="P19" s="34"/>
      <c r="Q19" s="34">
        <f t="shared" si="4"/>
        <v>0</v>
      </c>
      <c r="R19" s="40"/>
      <c r="S19" s="40">
        <f t="shared" si="5"/>
        <v>0</v>
      </c>
      <c r="U19" s="26"/>
      <c r="V19" s="26"/>
    </row>
    <row r="20" spans="1:22" ht="15.75" x14ac:dyDescent="0.2">
      <c r="A20" s="26"/>
      <c r="B20" s="36"/>
      <c r="C20" s="26"/>
      <c r="D20" s="30">
        <v>11</v>
      </c>
      <c r="E20" s="33"/>
      <c r="F20" s="28"/>
      <c r="G20" s="28"/>
      <c r="H20" s="28"/>
      <c r="I20" s="28">
        <f t="shared" si="0"/>
        <v>0</v>
      </c>
      <c r="J20" s="29">
        <f t="shared" si="1"/>
        <v>0</v>
      </c>
      <c r="K20" s="29"/>
      <c r="L20" s="29">
        <f t="shared" si="2"/>
        <v>0</v>
      </c>
      <c r="M20" s="29"/>
      <c r="N20" s="32">
        <f t="shared" si="3"/>
        <v>0</v>
      </c>
      <c r="O20" s="35"/>
      <c r="P20" s="34"/>
      <c r="Q20" s="34">
        <f t="shared" si="4"/>
        <v>0</v>
      </c>
      <c r="R20" s="40"/>
      <c r="S20" s="40">
        <f t="shared" si="5"/>
        <v>0</v>
      </c>
      <c r="U20" s="26"/>
      <c r="V20" s="26"/>
    </row>
    <row r="21" spans="1:22" ht="15.75" x14ac:dyDescent="0.2">
      <c r="A21" s="26"/>
      <c r="B21" s="36"/>
      <c r="C21" s="26"/>
      <c r="D21" s="30">
        <v>12</v>
      </c>
      <c r="E21" s="33"/>
      <c r="F21" s="28"/>
      <c r="G21" s="28"/>
      <c r="H21" s="28"/>
      <c r="I21" s="28">
        <f t="shared" si="0"/>
        <v>0</v>
      </c>
      <c r="J21" s="29">
        <f t="shared" si="1"/>
        <v>0</v>
      </c>
      <c r="K21" s="29"/>
      <c r="L21" s="29">
        <f t="shared" si="2"/>
        <v>0</v>
      </c>
      <c r="M21" s="29"/>
      <c r="N21" s="32">
        <f t="shared" si="3"/>
        <v>0</v>
      </c>
      <c r="O21" s="35"/>
      <c r="P21" s="34"/>
      <c r="Q21" s="34">
        <f t="shared" si="4"/>
        <v>0</v>
      </c>
      <c r="R21" s="40"/>
      <c r="S21" s="40">
        <f t="shared" si="5"/>
        <v>0</v>
      </c>
      <c r="U21" s="26"/>
      <c r="V21" s="26"/>
    </row>
    <row r="22" spans="1:22" ht="15.75" x14ac:dyDescent="0.2">
      <c r="A22" s="26"/>
      <c r="B22" s="36"/>
      <c r="C22" s="26"/>
      <c r="D22" s="30">
        <v>13</v>
      </c>
      <c r="E22" s="33"/>
      <c r="F22" s="28"/>
      <c r="G22" s="28"/>
      <c r="H22" s="28"/>
      <c r="I22" s="28">
        <f t="shared" si="0"/>
        <v>0</v>
      </c>
      <c r="J22" s="29">
        <f t="shared" si="1"/>
        <v>0</v>
      </c>
      <c r="K22" s="29"/>
      <c r="L22" s="29">
        <f t="shared" si="2"/>
        <v>0</v>
      </c>
      <c r="M22" s="29"/>
      <c r="N22" s="32">
        <f t="shared" si="3"/>
        <v>0</v>
      </c>
      <c r="O22" s="35"/>
      <c r="P22" s="34"/>
      <c r="Q22" s="34">
        <f t="shared" si="4"/>
        <v>0</v>
      </c>
      <c r="R22" s="40"/>
      <c r="S22" s="40">
        <f t="shared" si="5"/>
        <v>0</v>
      </c>
      <c r="U22" s="26"/>
      <c r="V22" s="26"/>
    </row>
    <row r="23" spans="1:22" ht="15.75" x14ac:dyDescent="0.2">
      <c r="A23" s="26"/>
      <c r="B23" s="36"/>
      <c r="C23" s="26"/>
      <c r="D23" s="30">
        <v>14</v>
      </c>
      <c r="E23" s="33"/>
      <c r="F23" s="28"/>
      <c r="G23" s="28"/>
      <c r="H23" s="28"/>
      <c r="I23" s="28">
        <f t="shared" si="0"/>
        <v>0</v>
      </c>
      <c r="J23" s="29">
        <f t="shared" si="1"/>
        <v>0</v>
      </c>
      <c r="K23" s="29"/>
      <c r="L23" s="29">
        <f t="shared" si="2"/>
        <v>0</v>
      </c>
      <c r="M23" s="29"/>
      <c r="N23" s="32">
        <f t="shared" si="3"/>
        <v>0</v>
      </c>
      <c r="O23" s="35"/>
      <c r="P23" s="34"/>
      <c r="Q23" s="34">
        <f t="shared" si="4"/>
        <v>0</v>
      </c>
      <c r="R23" s="40"/>
      <c r="S23" s="40">
        <f t="shared" si="5"/>
        <v>0</v>
      </c>
      <c r="U23" s="26"/>
      <c r="V23" s="26"/>
    </row>
    <row r="24" spans="1:22" ht="15.75" x14ac:dyDescent="0.2">
      <c r="A24" s="26"/>
      <c r="B24" s="36"/>
      <c r="C24" s="26"/>
      <c r="D24" s="30">
        <v>15</v>
      </c>
      <c r="E24" s="33"/>
      <c r="F24" s="28"/>
      <c r="G24" s="28"/>
      <c r="H24" s="28"/>
      <c r="I24" s="28">
        <f t="shared" si="0"/>
        <v>0</v>
      </c>
      <c r="J24" s="29">
        <f t="shared" si="1"/>
        <v>0</v>
      </c>
      <c r="K24" s="29"/>
      <c r="L24" s="29">
        <f t="shared" si="2"/>
        <v>0</v>
      </c>
      <c r="M24" s="29"/>
      <c r="N24" s="32">
        <f t="shared" si="3"/>
        <v>0</v>
      </c>
      <c r="O24" s="35"/>
      <c r="P24" s="34"/>
      <c r="Q24" s="34">
        <f t="shared" si="4"/>
        <v>0</v>
      </c>
      <c r="R24" s="40"/>
      <c r="S24" s="40">
        <f t="shared" si="5"/>
        <v>0</v>
      </c>
      <c r="U24" s="26"/>
      <c r="V24" s="26"/>
    </row>
    <row r="25" spans="1:22" ht="15.75" x14ac:dyDescent="0.2">
      <c r="A25" s="26"/>
      <c r="B25" s="36"/>
      <c r="C25" s="26"/>
      <c r="D25" s="30">
        <v>16</v>
      </c>
      <c r="E25" s="33"/>
      <c r="F25" s="28"/>
      <c r="G25" s="28"/>
      <c r="H25" s="28"/>
      <c r="I25" s="28"/>
      <c r="J25" s="29">
        <f t="shared" si="1"/>
        <v>0</v>
      </c>
      <c r="K25" s="29"/>
      <c r="L25" s="29">
        <f t="shared" si="2"/>
        <v>0</v>
      </c>
      <c r="M25" s="29"/>
      <c r="N25" s="32">
        <f t="shared" si="3"/>
        <v>0</v>
      </c>
      <c r="O25" s="35"/>
      <c r="P25" s="34"/>
      <c r="Q25" s="34">
        <f t="shared" si="4"/>
        <v>0</v>
      </c>
      <c r="R25" s="40"/>
      <c r="S25" s="40">
        <f t="shared" si="5"/>
        <v>0</v>
      </c>
      <c r="U25" s="26"/>
      <c r="V25" s="26"/>
    </row>
    <row r="26" spans="1:22" ht="15.75" x14ac:dyDescent="0.2">
      <c r="A26" s="26"/>
      <c r="B26" s="36"/>
      <c r="C26" s="26"/>
      <c r="D26" s="30"/>
      <c r="E26" s="30" t="s">
        <v>25</v>
      </c>
      <c r="F26" s="30"/>
      <c r="G26" s="30">
        <f t="shared" ref="G26:N26" si="6">SUM(G11:G25)</f>
        <v>0</v>
      </c>
      <c r="H26" s="30">
        <f t="shared" si="6"/>
        <v>142000</v>
      </c>
      <c r="I26" s="30">
        <f t="shared" si="6"/>
        <v>21300</v>
      </c>
      <c r="J26" s="30">
        <f t="shared" si="6"/>
        <v>163300</v>
      </c>
      <c r="K26" s="30">
        <f t="shared" si="6"/>
        <v>750</v>
      </c>
      <c r="L26" s="30">
        <f t="shared" si="6"/>
        <v>162550</v>
      </c>
      <c r="M26" s="30">
        <f t="shared" si="6"/>
        <v>5562</v>
      </c>
      <c r="N26" s="30">
        <f t="shared" si="6"/>
        <v>156988</v>
      </c>
      <c r="O26" s="35"/>
      <c r="P26" s="38" t="s">
        <v>25</v>
      </c>
      <c r="Q26" s="38">
        <f>SUM(Q10:Q25)</f>
        <v>159838</v>
      </c>
      <c r="R26" s="38"/>
      <c r="S26" s="38"/>
      <c r="U26" s="26"/>
      <c r="V26" s="26"/>
    </row>
    <row r="27" spans="1:22" x14ac:dyDescent="0.2">
      <c r="A27" s="26"/>
      <c r="B27" s="36"/>
      <c r="C27" s="26"/>
      <c r="U27" s="26"/>
      <c r="V27" s="26"/>
    </row>
    <row r="28" spans="1:22" x14ac:dyDescent="0.2">
      <c r="A28" s="26"/>
      <c r="B28" s="36"/>
      <c r="C28" s="26"/>
      <c r="U28" s="26"/>
      <c r="V28" s="26"/>
    </row>
    <row r="29" spans="1:22" x14ac:dyDescent="0.2">
      <c r="A29" s="26"/>
      <c r="B29" s="36"/>
      <c r="C29" s="26"/>
      <c r="U29" s="26"/>
      <c r="V29" s="26"/>
    </row>
    <row r="30" spans="1:22" x14ac:dyDescent="0.2">
      <c r="A30" s="26"/>
      <c r="B30" s="36"/>
      <c r="C30" s="26"/>
      <c r="U30" s="26"/>
      <c r="V30" s="26"/>
    </row>
    <row r="31" spans="1:22" x14ac:dyDescent="0.2">
      <c r="A31" s="26"/>
      <c r="B31" s="36"/>
      <c r="C31" s="26"/>
      <c r="U31" s="26"/>
      <c r="V31" s="26"/>
    </row>
    <row r="32" spans="1:22" x14ac:dyDescent="0.2">
      <c r="A32" s="26"/>
      <c r="B32" s="36"/>
      <c r="C32" s="26"/>
      <c r="U32" s="26"/>
      <c r="V32" s="26"/>
    </row>
    <row r="33" spans="1:22" x14ac:dyDescent="0.2">
      <c r="A33" s="26"/>
      <c r="B33" s="36"/>
      <c r="C33" s="26"/>
      <c r="U33" s="26"/>
      <c r="V33" s="26"/>
    </row>
    <row r="34" spans="1:22" x14ac:dyDescent="0.2">
      <c r="A34" s="26"/>
      <c r="B34" s="36"/>
      <c r="C34" s="26"/>
    </row>
  </sheetData>
  <mergeCells count="1">
    <mergeCell ref="P8:S8"/>
  </mergeCells>
  <dataValidations count="1">
    <dataValidation type="list" allowBlank="1" showInputMessage="1" showErrorMessage="1" errorTitle="خطأ فى الادخال" error="برجاء ادخال البيانات فى قائمه العملاء اولا" sqref="G10:G25">
      <formula1>$P$10:$P$25</formula1>
    </dataValidation>
  </dataValidation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rightToLeft="1" workbookViewId="0">
      <pane xSplit="13" ySplit="8" topLeftCell="N9" activePane="bottomRight" state="frozen"/>
      <selection pane="topRight" activeCell="N1" sqref="N1"/>
      <selection pane="bottomLeft" activeCell="A9" sqref="A9"/>
      <selection pane="bottomRight" activeCell="I20" sqref="I20"/>
    </sheetView>
  </sheetViews>
  <sheetFormatPr defaultRowHeight="14.25" x14ac:dyDescent="0.2"/>
  <cols>
    <col min="1" max="1" width="2.625" style="20" customWidth="1"/>
    <col min="2" max="2" width="3" style="20" customWidth="1"/>
    <col min="3" max="3" width="4.625" style="20" bestFit="1" customWidth="1"/>
    <col min="4" max="4" width="13.375" style="20" customWidth="1"/>
    <col min="5" max="5" width="4.625" style="20" customWidth="1"/>
    <col min="6" max="6" width="13.875" style="20" customWidth="1"/>
    <col min="7" max="7" width="10" style="20" customWidth="1"/>
    <col min="8" max="8" width="8.25" style="20" customWidth="1"/>
    <col min="9" max="9" width="12.5" style="20" customWidth="1"/>
    <col min="10" max="10" width="9" style="20"/>
    <col min="11" max="11" width="11.25" style="20" bestFit="1" customWidth="1"/>
    <col min="12" max="12" width="10.125" style="20" bestFit="1" customWidth="1"/>
    <col min="13" max="13" width="11.25" style="20" bestFit="1" customWidth="1"/>
    <col min="14" max="14" width="2" style="20" customWidth="1"/>
    <col min="15" max="15" width="12.25" style="20" bestFit="1" customWidth="1"/>
    <col min="16" max="16" width="12.375" style="20" bestFit="1" customWidth="1"/>
    <col min="17" max="17" width="6.375" style="20" bestFit="1" customWidth="1"/>
    <col min="18" max="18" width="11.875" style="20" customWidth="1"/>
    <col min="19" max="19" width="12" style="20" bestFit="1" customWidth="1"/>
    <col min="20" max="20" width="23.625" style="20" bestFit="1" customWidth="1"/>
    <col min="21" max="21" width="11.25" style="20" bestFit="1" customWidth="1"/>
    <col min="22" max="16384" width="9" style="20"/>
  </cols>
  <sheetData>
    <row r="1" spans="1:24" ht="20.25" x14ac:dyDescent="0.2">
      <c r="A1" s="26"/>
      <c r="B1" s="36"/>
      <c r="C1" s="19"/>
      <c r="D1" s="19"/>
      <c r="V1" s="26"/>
      <c r="W1" s="26"/>
      <c r="X1" s="26"/>
    </row>
    <row r="2" spans="1:24" ht="20.25" x14ac:dyDescent="0.2">
      <c r="A2" s="26"/>
      <c r="B2" s="36"/>
      <c r="C2" s="19"/>
      <c r="D2" s="19"/>
      <c r="V2" s="26"/>
      <c r="W2" s="26"/>
      <c r="X2" s="26"/>
    </row>
    <row r="3" spans="1:24" ht="20.25" x14ac:dyDescent="0.2">
      <c r="A3" s="26"/>
      <c r="B3" s="36"/>
      <c r="C3" s="19"/>
      <c r="D3" s="19"/>
      <c r="V3" s="26"/>
      <c r="W3" s="26"/>
      <c r="X3" s="26"/>
    </row>
    <row r="4" spans="1:24" x14ac:dyDescent="0.2">
      <c r="A4" s="26"/>
      <c r="B4" s="36"/>
      <c r="V4" s="26"/>
      <c r="W4" s="26"/>
      <c r="X4" s="26"/>
    </row>
    <row r="5" spans="1:24" x14ac:dyDescent="0.2">
      <c r="A5" s="26"/>
      <c r="B5" s="36"/>
      <c r="V5" s="26"/>
      <c r="W5" s="26"/>
      <c r="X5" s="26"/>
    </row>
    <row r="6" spans="1:24" x14ac:dyDescent="0.2">
      <c r="A6" s="26"/>
      <c r="B6" s="36"/>
      <c r="V6" s="26"/>
      <c r="W6" s="26"/>
      <c r="X6" s="26"/>
    </row>
    <row r="7" spans="1:24" ht="6" customHeight="1" x14ac:dyDescent="0.2">
      <c r="A7" s="26"/>
      <c r="B7" s="36"/>
      <c r="V7" s="26"/>
      <c r="W7" s="26"/>
      <c r="X7" s="26"/>
    </row>
    <row r="8" spans="1:24" ht="15.75" x14ac:dyDescent="0.2">
      <c r="A8" s="26"/>
      <c r="B8" s="36"/>
      <c r="O8" s="57" t="s">
        <v>72</v>
      </c>
      <c r="P8" s="57"/>
      <c r="Q8" s="57"/>
      <c r="R8" s="57"/>
      <c r="S8" s="57"/>
      <c r="T8" s="57"/>
      <c r="U8" s="57"/>
      <c r="V8" s="26"/>
      <c r="W8" s="26"/>
      <c r="X8" s="26"/>
    </row>
    <row r="9" spans="1:24" ht="24.75" customHeight="1" x14ac:dyDescent="0.2">
      <c r="A9" s="26"/>
      <c r="B9" s="36"/>
      <c r="C9" s="30" t="s">
        <v>0</v>
      </c>
      <c r="D9" s="30" t="s">
        <v>52</v>
      </c>
      <c r="E9" s="30" t="s">
        <v>35</v>
      </c>
      <c r="F9" s="30" t="s">
        <v>53</v>
      </c>
      <c r="G9" s="30" t="s">
        <v>4</v>
      </c>
      <c r="H9" s="30" t="s">
        <v>54</v>
      </c>
      <c r="I9" s="31" t="s">
        <v>25</v>
      </c>
      <c r="J9" s="31" t="s">
        <v>55</v>
      </c>
      <c r="K9" s="31" t="s">
        <v>56</v>
      </c>
      <c r="L9" s="31" t="s">
        <v>57</v>
      </c>
      <c r="M9" s="37" t="s">
        <v>58</v>
      </c>
      <c r="N9" s="35"/>
      <c r="O9" s="38" t="s">
        <v>59</v>
      </c>
      <c r="P9" s="38" t="s">
        <v>58</v>
      </c>
      <c r="Q9" s="38" t="s">
        <v>35</v>
      </c>
      <c r="R9" s="38" t="s">
        <v>69</v>
      </c>
      <c r="S9" s="38" t="s">
        <v>70</v>
      </c>
      <c r="T9" s="38" t="s">
        <v>71</v>
      </c>
      <c r="U9" s="38" t="s">
        <v>24</v>
      </c>
      <c r="V9" s="26"/>
      <c r="W9" s="26"/>
      <c r="X9" s="26"/>
    </row>
    <row r="10" spans="1:24" ht="15.75" x14ac:dyDescent="0.2">
      <c r="A10" s="26"/>
      <c r="B10" s="36"/>
      <c r="C10" s="30">
        <v>1</v>
      </c>
      <c r="D10" s="33">
        <v>45689</v>
      </c>
      <c r="E10" s="28">
        <f>MONTH(D10)</f>
        <v>2</v>
      </c>
      <c r="F10" s="28" t="s">
        <v>63</v>
      </c>
      <c r="G10" s="28">
        <v>4000</v>
      </c>
      <c r="H10" s="28">
        <f>G10*15%</f>
        <v>600</v>
      </c>
      <c r="I10" s="29">
        <f>G10+H10</f>
        <v>4600</v>
      </c>
      <c r="J10" s="29">
        <v>150</v>
      </c>
      <c r="K10" s="29">
        <f>I10-J10</f>
        <v>4450</v>
      </c>
      <c r="L10" s="29">
        <v>1600</v>
      </c>
      <c r="M10" s="32">
        <f>K10-L10</f>
        <v>2850</v>
      </c>
      <c r="N10" s="35"/>
      <c r="O10" s="29" t="s">
        <v>60</v>
      </c>
      <c r="P10" s="29">
        <f>SUMIF($F$10:$F$25,O10,$M$10:$M$25)</f>
        <v>32565</v>
      </c>
      <c r="Q10" s="29">
        <v>2</v>
      </c>
      <c r="R10" s="29">
        <f>SUMIF($E$10:$E$25,Q10,$M$10:$M$25)</f>
        <v>2850</v>
      </c>
      <c r="S10" s="29">
        <f>'الاستاذ العام'!O13-'الاستاذ العام'!P13</f>
        <v>0</v>
      </c>
      <c r="T10" s="29" t="str">
        <f>IF(R10&gt;S10,"رصيد التحليلى اكبر من المركزى",IF(R10&lt;S10,"المركزى اكبر من التحليلى",""))</f>
        <v>رصيد التحليلى اكبر من المركزى</v>
      </c>
      <c r="U10" s="29">
        <f>IF(R10&gt;S10,R10-S10,IF(R10&lt;S10,S10-R10,""))</f>
        <v>2850</v>
      </c>
      <c r="V10" s="26"/>
      <c r="W10" s="26"/>
      <c r="X10" s="26"/>
    </row>
    <row r="11" spans="1:24" ht="15.75" x14ac:dyDescent="0.2">
      <c r="A11" s="26"/>
      <c r="B11" s="36"/>
      <c r="C11" s="30">
        <v>2</v>
      </c>
      <c r="D11" s="33">
        <v>45749</v>
      </c>
      <c r="E11" s="28">
        <f>MONTH(D11)</f>
        <v>4</v>
      </c>
      <c r="F11" s="28" t="s">
        <v>62</v>
      </c>
      <c r="G11" s="28">
        <v>65000</v>
      </c>
      <c r="H11" s="28">
        <f t="shared" ref="H11:H24" si="0">G11*15%</f>
        <v>9750</v>
      </c>
      <c r="I11" s="29">
        <f t="shared" ref="I11:I25" si="1">G11+H11</f>
        <v>74750</v>
      </c>
      <c r="J11" s="29"/>
      <c r="K11" s="29">
        <f t="shared" ref="K11:K25" si="2">I11-J11</f>
        <v>74750</v>
      </c>
      <c r="L11" s="29"/>
      <c r="M11" s="32">
        <f t="shared" ref="M11:M25" si="3">K11-L11</f>
        <v>74750</v>
      </c>
      <c r="N11" s="35"/>
      <c r="O11" s="29" t="s">
        <v>61</v>
      </c>
      <c r="P11" s="29">
        <f t="shared" ref="P11:P25" si="4">SUMIF($F$10:$F$25,O11,$M$10:$M$25)</f>
        <v>0</v>
      </c>
      <c r="Q11" s="29">
        <v>9</v>
      </c>
      <c r="R11" s="29">
        <f t="shared" ref="R11:R25" si="5">SUMIF($E$10:$E$25,Q11,$M$10:$M$25)</f>
        <v>43748</v>
      </c>
      <c r="S11" s="29">
        <f>'الاستاذ العام'!O14-'الاستاذ العام'!P14</f>
        <v>0</v>
      </c>
      <c r="T11" s="29" t="str">
        <f t="shared" ref="T11:T25" si="6">IF(R11&gt;S11,"رصيد التحليلى اكبر من المركزى",IF(R11&lt;S11,"المركزى اكبر من التحليلى",""))</f>
        <v>رصيد التحليلى اكبر من المركزى</v>
      </c>
      <c r="U11" s="29">
        <f t="shared" ref="U11:U25" si="7">IF(R11&gt;S11,R11-S11,IF(R11&lt;S11,S11-R11,""))</f>
        <v>43748</v>
      </c>
      <c r="V11" s="26"/>
      <c r="W11" s="26"/>
      <c r="X11" s="26"/>
    </row>
    <row r="12" spans="1:24" ht="15.75" x14ac:dyDescent="0.2">
      <c r="A12" s="26"/>
      <c r="B12" s="36"/>
      <c r="C12" s="30">
        <v>3</v>
      </c>
      <c r="D12" s="33">
        <v>45778</v>
      </c>
      <c r="E12" s="28">
        <f>MONTH(D12)</f>
        <v>5</v>
      </c>
      <c r="F12" s="28" t="s">
        <v>65</v>
      </c>
      <c r="G12" s="28">
        <v>7000</v>
      </c>
      <c r="H12" s="28">
        <f t="shared" si="0"/>
        <v>1050</v>
      </c>
      <c r="I12" s="29">
        <f t="shared" si="1"/>
        <v>8050</v>
      </c>
      <c r="J12" s="29">
        <v>250</v>
      </c>
      <c r="K12" s="29">
        <f t="shared" si="2"/>
        <v>7800</v>
      </c>
      <c r="L12" s="29">
        <v>1875</v>
      </c>
      <c r="M12" s="32">
        <f t="shared" si="3"/>
        <v>5925</v>
      </c>
      <c r="N12" s="35"/>
      <c r="O12" s="29" t="s">
        <v>62</v>
      </c>
      <c r="P12" s="29">
        <f t="shared" si="4"/>
        <v>74750</v>
      </c>
      <c r="Q12" s="29">
        <v>3</v>
      </c>
      <c r="R12" s="29">
        <f t="shared" si="5"/>
        <v>0</v>
      </c>
      <c r="S12" s="29">
        <f>'الاستاذ العام'!O15-'الاستاذ العام'!P15</f>
        <v>0</v>
      </c>
      <c r="T12" s="29" t="str">
        <f t="shared" si="6"/>
        <v/>
      </c>
      <c r="U12" s="29" t="str">
        <f t="shared" si="7"/>
        <v/>
      </c>
      <c r="V12" s="26"/>
      <c r="W12" s="26"/>
      <c r="X12" s="26"/>
    </row>
    <row r="13" spans="1:24" ht="15.75" x14ac:dyDescent="0.2">
      <c r="A13" s="26"/>
      <c r="B13" s="36"/>
      <c r="C13" s="30">
        <v>4</v>
      </c>
      <c r="D13" s="33">
        <v>45810</v>
      </c>
      <c r="E13" s="28">
        <f>MONTH(D13)</f>
        <v>6</v>
      </c>
      <c r="F13" s="28" t="s">
        <v>60</v>
      </c>
      <c r="G13" s="28">
        <v>30000</v>
      </c>
      <c r="H13" s="28">
        <f t="shared" si="0"/>
        <v>4500</v>
      </c>
      <c r="I13" s="29">
        <f t="shared" si="1"/>
        <v>34500</v>
      </c>
      <c r="J13" s="29">
        <v>300</v>
      </c>
      <c r="K13" s="29">
        <f t="shared" si="2"/>
        <v>34200</v>
      </c>
      <c r="L13" s="29">
        <v>1635</v>
      </c>
      <c r="M13" s="32">
        <f t="shared" si="3"/>
        <v>32565</v>
      </c>
      <c r="N13" s="35"/>
      <c r="O13" s="29" t="s">
        <v>63</v>
      </c>
      <c r="P13" s="29">
        <f t="shared" si="4"/>
        <v>2850</v>
      </c>
      <c r="Q13" s="29">
        <v>4</v>
      </c>
      <c r="R13" s="29">
        <f t="shared" si="5"/>
        <v>74750</v>
      </c>
      <c r="S13" s="29">
        <f>'الاستاذ العام'!O16-'الاستاذ العام'!P16</f>
        <v>0</v>
      </c>
      <c r="T13" s="29" t="str">
        <f t="shared" si="6"/>
        <v>رصيد التحليلى اكبر من المركزى</v>
      </c>
      <c r="U13" s="29">
        <f t="shared" si="7"/>
        <v>74750</v>
      </c>
      <c r="V13" s="26"/>
      <c r="W13" s="26"/>
      <c r="X13" s="26"/>
    </row>
    <row r="14" spans="1:24" ht="15.75" x14ac:dyDescent="0.2">
      <c r="A14" s="26"/>
      <c r="B14" s="36"/>
      <c r="C14" s="30">
        <v>5</v>
      </c>
      <c r="D14" s="33">
        <v>45930</v>
      </c>
      <c r="E14" s="28">
        <f>MONTH(D14)</f>
        <v>9</v>
      </c>
      <c r="F14" s="28" t="s">
        <v>64</v>
      </c>
      <c r="G14" s="28">
        <v>40000</v>
      </c>
      <c r="H14" s="28">
        <f t="shared" si="0"/>
        <v>6000</v>
      </c>
      <c r="I14" s="29">
        <f t="shared" si="1"/>
        <v>46000</v>
      </c>
      <c r="J14" s="29">
        <v>200</v>
      </c>
      <c r="K14" s="29">
        <f t="shared" si="2"/>
        <v>45800</v>
      </c>
      <c r="L14" s="29">
        <v>2052</v>
      </c>
      <c r="M14" s="32">
        <f t="shared" si="3"/>
        <v>43748</v>
      </c>
      <c r="N14" s="35"/>
      <c r="O14" s="29" t="s">
        <v>64</v>
      </c>
      <c r="P14" s="29">
        <f t="shared" si="4"/>
        <v>43748</v>
      </c>
      <c r="Q14" s="29">
        <v>6</v>
      </c>
      <c r="R14" s="29">
        <f t="shared" si="5"/>
        <v>32565</v>
      </c>
      <c r="S14" s="29">
        <f>'الاستاذ العام'!O17-'الاستاذ العام'!P17</f>
        <v>0</v>
      </c>
      <c r="T14" s="29" t="str">
        <f t="shared" si="6"/>
        <v>رصيد التحليلى اكبر من المركزى</v>
      </c>
      <c r="U14" s="29">
        <f t="shared" si="7"/>
        <v>32565</v>
      </c>
      <c r="V14" s="26"/>
      <c r="W14" s="26"/>
      <c r="X14" s="26"/>
    </row>
    <row r="15" spans="1:24" ht="15.75" x14ac:dyDescent="0.2">
      <c r="A15" s="26"/>
      <c r="B15" s="36"/>
      <c r="C15" s="30">
        <v>6</v>
      </c>
      <c r="D15" s="33"/>
      <c r="E15" s="28"/>
      <c r="F15" s="28"/>
      <c r="G15" s="28"/>
      <c r="H15" s="28">
        <f t="shared" si="0"/>
        <v>0</v>
      </c>
      <c r="I15" s="29">
        <f t="shared" si="1"/>
        <v>0</v>
      </c>
      <c r="J15" s="29"/>
      <c r="K15" s="29">
        <f t="shared" si="2"/>
        <v>0</v>
      </c>
      <c r="L15" s="29"/>
      <c r="M15" s="32">
        <f t="shared" si="3"/>
        <v>0</v>
      </c>
      <c r="N15" s="35"/>
      <c r="O15" s="29" t="s">
        <v>65</v>
      </c>
      <c r="P15" s="29">
        <f t="shared" si="4"/>
        <v>5925</v>
      </c>
      <c r="Q15" s="29">
        <v>5</v>
      </c>
      <c r="R15" s="29">
        <f t="shared" si="5"/>
        <v>5925</v>
      </c>
      <c r="S15" s="29">
        <f>'الاستاذ العام'!O18-'الاستاذ العام'!P18</f>
        <v>0</v>
      </c>
      <c r="T15" s="29" t="str">
        <f t="shared" si="6"/>
        <v>رصيد التحليلى اكبر من المركزى</v>
      </c>
      <c r="U15" s="29">
        <f t="shared" si="7"/>
        <v>5925</v>
      </c>
      <c r="V15" s="26"/>
      <c r="W15" s="26"/>
      <c r="X15" s="26"/>
    </row>
    <row r="16" spans="1:24" ht="15.75" x14ac:dyDescent="0.2">
      <c r="A16" s="26"/>
      <c r="B16" s="36"/>
      <c r="C16" s="30">
        <v>7</v>
      </c>
      <c r="D16" s="33"/>
      <c r="E16" s="28"/>
      <c r="F16" s="28"/>
      <c r="G16" s="28"/>
      <c r="H16" s="28">
        <f t="shared" si="0"/>
        <v>0</v>
      </c>
      <c r="I16" s="29">
        <f t="shared" si="1"/>
        <v>0</v>
      </c>
      <c r="J16" s="29"/>
      <c r="K16" s="29">
        <f t="shared" si="2"/>
        <v>0</v>
      </c>
      <c r="L16" s="29"/>
      <c r="M16" s="32">
        <f t="shared" si="3"/>
        <v>0</v>
      </c>
      <c r="N16" s="35"/>
      <c r="O16" s="29" t="s">
        <v>66</v>
      </c>
      <c r="P16" s="29">
        <f t="shared" si="4"/>
        <v>0</v>
      </c>
      <c r="Q16" s="29"/>
      <c r="R16" s="29">
        <f t="shared" si="5"/>
        <v>0</v>
      </c>
      <c r="S16" s="29">
        <f>'الاستاذ العام'!O19-'الاستاذ العام'!P19</f>
        <v>0</v>
      </c>
      <c r="T16" s="29" t="str">
        <f t="shared" si="6"/>
        <v/>
      </c>
      <c r="U16" s="29" t="str">
        <f t="shared" si="7"/>
        <v/>
      </c>
      <c r="V16" s="26"/>
      <c r="W16" s="26"/>
      <c r="X16" s="26"/>
    </row>
    <row r="17" spans="1:24" ht="15.75" x14ac:dyDescent="0.2">
      <c r="A17" s="26"/>
      <c r="B17" s="36"/>
      <c r="C17" s="30">
        <v>8</v>
      </c>
      <c r="D17" s="33"/>
      <c r="E17" s="28"/>
      <c r="F17" s="28"/>
      <c r="G17" s="28"/>
      <c r="H17" s="28">
        <f t="shared" si="0"/>
        <v>0</v>
      </c>
      <c r="I17" s="29">
        <f t="shared" si="1"/>
        <v>0</v>
      </c>
      <c r="J17" s="29"/>
      <c r="K17" s="29">
        <f t="shared" si="2"/>
        <v>0</v>
      </c>
      <c r="L17" s="29"/>
      <c r="M17" s="32">
        <f t="shared" si="3"/>
        <v>0</v>
      </c>
      <c r="N17" s="35"/>
      <c r="O17" s="29" t="s">
        <v>67</v>
      </c>
      <c r="P17" s="29">
        <f t="shared" si="4"/>
        <v>0</v>
      </c>
      <c r="Q17" s="29"/>
      <c r="R17" s="29">
        <f t="shared" si="5"/>
        <v>0</v>
      </c>
      <c r="S17" s="29">
        <f>'الاستاذ العام'!O20-'الاستاذ العام'!P20</f>
        <v>0</v>
      </c>
      <c r="T17" s="29" t="str">
        <f t="shared" si="6"/>
        <v/>
      </c>
      <c r="U17" s="29" t="str">
        <f t="shared" si="7"/>
        <v/>
      </c>
      <c r="V17" s="26"/>
      <c r="W17" s="26"/>
      <c r="X17" s="26"/>
    </row>
    <row r="18" spans="1:24" ht="15.75" x14ac:dyDescent="0.2">
      <c r="A18" s="26"/>
      <c r="B18" s="36"/>
      <c r="C18" s="30">
        <v>9</v>
      </c>
      <c r="D18" s="33"/>
      <c r="E18" s="28"/>
      <c r="F18" s="28"/>
      <c r="G18" s="28"/>
      <c r="H18" s="28">
        <f t="shared" si="0"/>
        <v>0</v>
      </c>
      <c r="I18" s="29">
        <f t="shared" si="1"/>
        <v>0</v>
      </c>
      <c r="J18" s="29"/>
      <c r="K18" s="29">
        <f t="shared" si="2"/>
        <v>0</v>
      </c>
      <c r="L18" s="29"/>
      <c r="M18" s="32">
        <f t="shared" si="3"/>
        <v>0</v>
      </c>
      <c r="N18" s="35"/>
      <c r="O18" s="29"/>
      <c r="P18" s="29">
        <f>SUMIF($F$10:$F$25,O18,$M$10:$M$25)</f>
        <v>0</v>
      </c>
      <c r="Q18" s="29"/>
      <c r="R18" s="29">
        <f t="shared" si="5"/>
        <v>0</v>
      </c>
      <c r="S18" s="29">
        <f>'الاستاذ العام'!O21-'الاستاذ العام'!P21</f>
        <v>0</v>
      </c>
      <c r="T18" s="29" t="str">
        <f t="shared" si="6"/>
        <v/>
      </c>
      <c r="U18" s="29" t="str">
        <f t="shared" si="7"/>
        <v/>
      </c>
      <c r="V18" s="26"/>
      <c r="W18" s="26"/>
      <c r="X18" s="26"/>
    </row>
    <row r="19" spans="1:24" ht="15.75" x14ac:dyDescent="0.2">
      <c r="A19" s="26"/>
      <c r="B19" s="36"/>
      <c r="C19" s="30">
        <v>10</v>
      </c>
      <c r="D19" s="33"/>
      <c r="E19" s="28"/>
      <c r="F19" s="28"/>
      <c r="G19" s="28"/>
      <c r="H19" s="28">
        <f t="shared" si="0"/>
        <v>0</v>
      </c>
      <c r="I19" s="29">
        <f t="shared" si="1"/>
        <v>0</v>
      </c>
      <c r="J19" s="29"/>
      <c r="K19" s="29">
        <f t="shared" si="2"/>
        <v>0</v>
      </c>
      <c r="L19" s="29"/>
      <c r="M19" s="32">
        <f t="shared" si="3"/>
        <v>0</v>
      </c>
      <c r="N19" s="35"/>
      <c r="O19" s="29"/>
      <c r="P19" s="29">
        <f t="shared" si="4"/>
        <v>0</v>
      </c>
      <c r="Q19" s="29"/>
      <c r="R19" s="29">
        <f t="shared" si="5"/>
        <v>0</v>
      </c>
      <c r="S19" s="29">
        <f>'الاستاذ العام'!O22-'الاستاذ العام'!P22</f>
        <v>0</v>
      </c>
      <c r="T19" s="29" t="str">
        <f t="shared" si="6"/>
        <v/>
      </c>
      <c r="U19" s="29" t="str">
        <f t="shared" si="7"/>
        <v/>
      </c>
      <c r="V19" s="26"/>
      <c r="W19" s="26"/>
      <c r="X19" s="26"/>
    </row>
    <row r="20" spans="1:24" ht="15.75" x14ac:dyDescent="0.2">
      <c r="A20" s="26"/>
      <c r="B20" s="36"/>
      <c r="C20" s="30">
        <v>11</v>
      </c>
      <c r="D20" s="33"/>
      <c r="E20" s="28"/>
      <c r="F20" s="28"/>
      <c r="G20" s="28"/>
      <c r="H20" s="28">
        <f t="shared" si="0"/>
        <v>0</v>
      </c>
      <c r="I20" s="29">
        <f t="shared" si="1"/>
        <v>0</v>
      </c>
      <c r="J20" s="29"/>
      <c r="K20" s="29">
        <f t="shared" si="2"/>
        <v>0</v>
      </c>
      <c r="L20" s="29"/>
      <c r="M20" s="32">
        <f t="shared" si="3"/>
        <v>0</v>
      </c>
      <c r="N20" s="35"/>
      <c r="O20" s="29"/>
      <c r="P20" s="29">
        <f t="shared" si="4"/>
        <v>0</v>
      </c>
      <c r="Q20" s="29"/>
      <c r="R20" s="29">
        <f t="shared" si="5"/>
        <v>0</v>
      </c>
      <c r="S20" s="29">
        <f>'الاستاذ العام'!O23-'الاستاذ العام'!P23</f>
        <v>0</v>
      </c>
      <c r="T20" s="29" t="str">
        <f t="shared" si="6"/>
        <v/>
      </c>
      <c r="U20" s="29" t="str">
        <f t="shared" si="7"/>
        <v/>
      </c>
      <c r="V20" s="26"/>
      <c r="W20" s="26"/>
      <c r="X20" s="26"/>
    </row>
    <row r="21" spans="1:24" ht="15.75" x14ac:dyDescent="0.2">
      <c r="A21" s="26"/>
      <c r="B21" s="36"/>
      <c r="C21" s="30">
        <v>12</v>
      </c>
      <c r="D21" s="33"/>
      <c r="E21" s="28"/>
      <c r="F21" s="28"/>
      <c r="G21" s="28"/>
      <c r="H21" s="28">
        <f t="shared" si="0"/>
        <v>0</v>
      </c>
      <c r="I21" s="29">
        <f t="shared" si="1"/>
        <v>0</v>
      </c>
      <c r="J21" s="29"/>
      <c r="K21" s="29">
        <f t="shared" si="2"/>
        <v>0</v>
      </c>
      <c r="L21" s="29"/>
      <c r="M21" s="32">
        <f t="shared" si="3"/>
        <v>0</v>
      </c>
      <c r="N21" s="35"/>
      <c r="O21" s="29"/>
      <c r="P21" s="29">
        <f t="shared" si="4"/>
        <v>0</v>
      </c>
      <c r="Q21" s="29"/>
      <c r="R21" s="29">
        <f t="shared" si="5"/>
        <v>0</v>
      </c>
      <c r="S21" s="29">
        <f>'الاستاذ العام'!O24-'الاستاذ العام'!P24</f>
        <v>0</v>
      </c>
      <c r="T21" s="29" t="str">
        <f t="shared" si="6"/>
        <v/>
      </c>
      <c r="U21" s="29" t="str">
        <f t="shared" si="7"/>
        <v/>
      </c>
      <c r="V21" s="26"/>
      <c r="W21" s="26"/>
      <c r="X21" s="26"/>
    </row>
    <row r="22" spans="1:24" ht="15.75" x14ac:dyDescent="0.2">
      <c r="A22" s="26"/>
      <c r="B22" s="36"/>
      <c r="C22" s="30">
        <v>13</v>
      </c>
      <c r="D22" s="33"/>
      <c r="E22" s="28"/>
      <c r="F22" s="28"/>
      <c r="G22" s="28"/>
      <c r="H22" s="28">
        <f t="shared" si="0"/>
        <v>0</v>
      </c>
      <c r="I22" s="29">
        <f t="shared" si="1"/>
        <v>0</v>
      </c>
      <c r="J22" s="29"/>
      <c r="K22" s="29">
        <f t="shared" si="2"/>
        <v>0</v>
      </c>
      <c r="L22" s="29"/>
      <c r="M22" s="32">
        <f t="shared" si="3"/>
        <v>0</v>
      </c>
      <c r="N22" s="35"/>
      <c r="O22" s="29"/>
      <c r="P22" s="29">
        <f t="shared" si="4"/>
        <v>0</v>
      </c>
      <c r="Q22" s="29"/>
      <c r="R22" s="29">
        <f t="shared" si="5"/>
        <v>0</v>
      </c>
      <c r="S22" s="29">
        <f>'الاستاذ العام'!O25-'الاستاذ العام'!P25</f>
        <v>0</v>
      </c>
      <c r="T22" s="29" t="str">
        <f t="shared" si="6"/>
        <v/>
      </c>
      <c r="U22" s="29" t="str">
        <f t="shared" si="7"/>
        <v/>
      </c>
      <c r="V22" s="26"/>
      <c r="W22" s="26"/>
      <c r="X22" s="26"/>
    </row>
    <row r="23" spans="1:24" ht="15.75" x14ac:dyDescent="0.2">
      <c r="A23" s="26"/>
      <c r="B23" s="36"/>
      <c r="C23" s="30">
        <v>14</v>
      </c>
      <c r="D23" s="33"/>
      <c r="E23" s="28"/>
      <c r="F23" s="28"/>
      <c r="G23" s="28"/>
      <c r="H23" s="28">
        <f t="shared" si="0"/>
        <v>0</v>
      </c>
      <c r="I23" s="29">
        <f t="shared" si="1"/>
        <v>0</v>
      </c>
      <c r="J23" s="29"/>
      <c r="K23" s="29">
        <f t="shared" si="2"/>
        <v>0</v>
      </c>
      <c r="L23" s="29"/>
      <c r="M23" s="32">
        <f t="shared" si="3"/>
        <v>0</v>
      </c>
      <c r="N23" s="35"/>
      <c r="O23" s="29"/>
      <c r="P23" s="29">
        <f t="shared" si="4"/>
        <v>0</v>
      </c>
      <c r="Q23" s="29"/>
      <c r="R23" s="29">
        <f t="shared" si="5"/>
        <v>0</v>
      </c>
      <c r="S23" s="29">
        <f>'الاستاذ العام'!O26-'الاستاذ العام'!P26</f>
        <v>0</v>
      </c>
      <c r="T23" s="29" t="str">
        <f t="shared" si="6"/>
        <v/>
      </c>
      <c r="U23" s="29" t="str">
        <f t="shared" si="7"/>
        <v/>
      </c>
      <c r="V23" s="26"/>
      <c r="W23" s="26"/>
      <c r="X23" s="26"/>
    </row>
    <row r="24" spans="1:24" ht="15.75" x14ac:dyDescent="0.2">
      <c r="A24" s="26"/>
      <c r="B24" s="36"/>
      <c r="C24" s="30">
        <v>15</v>
      </c>
      <c r="D24" s="33"/>
      <c r="E24" s="28"/>
      <c r="F24" s="28"/>
      <c r="G24" s="28"/>
      <c r="H24" s="28">
        <f t="shared" si="0"/>
        <v>0</v>
      </c>
      <c r="I24" s="29">
        <f t="shared" si="1"/>
        <v>0</v>
      </c>
      <c r="J24" s="29"/>
      <c r="K24" s="29">
        <f t="shared" si="2"/>
        <v>0</v>
      </c>
      <c r="L24" s="29"/>
      <c r="M24" s="32">
        <f t="shared" si="3"/>
        <v>0</v>
      </c>
      <c r="N24" s="35"/>
      <c r="O24" s="29"/>
      <c r="P24" s="29">
        <f t="shared" si="4"/>
        <v>0</v>
      </c>
      <c r="Q24" s="29"/>
      <c r="R24" s="29">
        <f t="shared" si="5"/>
        <v>0</v>
      </c>
      <c r="S24" s="29">
        <f>'الاستاذ العام'!O27-'الاستاذ العام'!P27</f>
        <v>0</v>
      </c>
      <c r="T24" s="29" t="str">
        <f t="shared" si="6"/>
        <v/>
      </c>
      <c r="U24" s="29" t="str">
        <f t="shared" si="7"/>
        <v/>
      </c>
      <c r="V24" s="26"/>
      <c r="W24" s="26"/>
      <c r="X24" s="26"/>
    </row>
    <row r="25" spans="1:24" ht="15.75" x14ac:dyDescent="0.2">
      <c r="A25" s="26"/>
      <c r="B25" s="36"/>
      <c r="C25" s="30">
        <v>16</v>
      </c>
      <c r="D25" s="33"/>
      <c r="E25" s="28"/>
      <c r="F25" s="28"/>
      <c r="G25" s="28"/>
      <c r="H25" s="28"/>
      <c r="I25" s="29">
        <f t="shared" si="1"/>
        <v>0</v>
      </c>
      <c r="J25" s="29"/>
      <c r="K25" s="29">
        <f t="shared" si="2"/>
        <v>0</v>
      </c>
      <c r="L25" s="29"/>
      <c r="M25" s="32">
        <f t="shared" si="3"/>
        <v>0</v>
      </c>
      <c r="N25" s="35"/>
      <c r="O25" s="29"/>
      <c r="P25" s="29">
        <f t="shared" si="4"/>
        <v>0</v>
      </c>
      <c r="Q25" s="29"/>
      <c r="R25" s="29">
        <f t="shared" si="5"/>
        <v>0</v>
      </c>
      <c r="S25" s="29">
        <f>'الاستاذ العام'!O28-'الاستاذ العام'!P28</f>
        <v>0</v>
      </c>
      <c r="T25" s="29" t="str">
        <f t="shared" si="6"/>
        <v/>
      </c>
      <c r="U25" s="29" t="str">
        <f t="shared" si="7"/>
        <v/>
      </c>
      <c r="V25" s="26"/>
      <c r="W25" s="26"/>
      <c r="X25" s="26"/>
    </row>
    <row r="26" spans="1:24" ht="15.75" x14ac:dyDescent="0.2">
      <c r="A26" s="26"/>
      <c r="B26" s="36"/>
      <c r="C26" s="30"/>
      <c r="D26" s="30" t="s">
        <v>25</v>
      </c>
      <c r="E26" s="30"/>
      <c r="F26" s="30">
        <f t="shared" ref="F26:M26" si="8">SUM(F11:F25)</f>
        <v>0</v>
      </c>
      <c r="G26" s="30">
        <f t="shared" si="8"/>
        <v>142000</v>
      </c>
      <c r="H26" s="30">
        <f t="shared" si="8"/>
        <v>21300</v>
      </c>
      <c r="I26" s="30">
        <f t="shared" si="8"/>
        <v>163300</v>
      </c>
      <c r="J26" s="30">
        <f t="shared" si="8"/>
        <v>750</v>
      </c>
      <c r="K26" s="30">
        <f t="shared" si="8"/>
        <v>162550</v>
      </c>
      <c r="L26" s="30">
        <f t="shared" si="8"/>
        <v>5562</v>
      </c>
      <c r="M26" s="30">
        <f t="shared" si="8"/>
        <v>156988</v>
      </c>
      <c r="N26" s="35"/>
      <c r="O26" s="38" t="s">
        <v>25</v>
      </c>
      <c r="P26" s="38">
        <f>SUM(P10:P25)</f>
        <v>159838</v>
      </c>
      <c r="Q26" s="38"/>
      <c r="R26" s="38"/>
      <c r="S26" s="38"/>
      <c r="T26" s="38"/>
      <c r="U26" s="38"/>
      <c r="V26" s="26"/>
      <c r="W26" s="26"/>
      <c r="X26" s="26"/>
    </row>
    <row r="27" spans="1:24" x14ac:dyDescent="0.2">
      <c r="A27" s="26"/>
      <c r="B27" s="36"/>
      <c r="V27" s="26"/>
      <c r="W27" s="26"/>
      <c r="X27" s="26"/>
    </row>
    <row r="28" spans="1:24" x14ac:dyDescent="0.2">
      <c r="A28" s="26"/>
      <c r="B28" s="36"/>
      <c r="V28" s="26"/>
      <c r="W28" s="26"/>
      <c r="X28" s="26"/>
    </row>
    <row r="29" spans="1:24" x14ac:dyDescent="0.2">
      <c r="A29" s="26"/>
      <c r="B29" s="36"/>
      <c r="V29" s="26"/>
      <c r="W29" s="26"/>
      <c r="X29" s="26"/>
    </row>
    <row r="30" spans="1:24" x14ac:dyDescent="0.2">
      <c r="A30" s="26"/>
      <c r="B30" s="36"/>
      <c r="V30" s="26"/>
      <c r="W30" s="26"/>
      <c r="X30" s="26"/>
    </row>
    <row r="31" spans="1:24" x14ac:dyDescent="0.2">
      <c r="A31" s="26"/>
      <c r="B31" s="36"/>
      <c r="V31" s="26"/>
      <c r="W31" s="26"/>
      <c r="X31" s="26"/>
    </row>
    <row r="32" spans="1:24" x14ac:dyDescent="0.2">
      <c r="A32" s="26"/>
      <c r="B32" s="36"/>
      <c r="V32" s="26"/>
      <c r="W32" s="26"/>
      <c r="X32" s="26"/>
    </row>
    <row r="33" spans="1:24" x14ac:dyDescent="0.2">
      <c r="A33" s="26"/>
      <c r="B33" s="36"/>
      <c r="V33" s="26"/>
      <c r="W33" s="26"/>
      <c r="X33" s="26"/>
    </row>
    <row r="34" spans="1:24" x14ac:dyDescent="0.2">
      <c r="A34" s="26"/>
      <c r="B34" s="36"/>
    </row>
  </sheetData>
  <mergeCells count="1">
    <mergeCell ref="O8:U8"/>
  </mergeCells>
  <dataValidations count="1">
    <dataValidation type="list" allowBlank="1" showInputMessage="1" showErrorMessage="1" errorTitle="خطأ فى الادخال" error="برجاء ادخال البيانات فى قائمه العملاء اولا" sqref="F10:F25">
      <formula1>$O$10:$O$25</formula1>
    </dataValidation>
  </dataValidation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rightToLeft="1" topLeftCell="D4" workbookViewId="0">
      <selection activeCell="R17" sqref="R17"/>
    </sheetView>
  </sheetViews>
  <sheetFormatPr defaultRowHeight="14.25" x14ac:dyDescent="0.2"/>
  <cols>
    <col min="1" max="1" width="2.625" style="20" customWidth="1"/>
    <col min="2" max="2" width="3" style="20" customWidth="1"/>
    <col min="3" max="3" width="9.625" style="20" customWidth="1"/>
    <col min="4" max="4" width="13.375" style="20" customWidth="1"/>
    <col min="5" max="5" width="5.625" style="20" customWidth="1"/>
    <col min="6" max="6" width="26.75" style="20" customWidth="1"/>
    <col min="7" max="8" width="12.5" style="20" customWidth="1"/>
    <col min="9" max="9" width="2" style="20" customWidth="1"/>
    <col min="10" max="10" width="19.875" style="20" customWidth="1"/>
    <col min="11" max="12" width="15.625" style="20" customWidth="1"/>
    <col min="13" max="13" width="19.75" style="20" customWidth="1"/>
    <col min="14" max="14" width="3" style="20" customWidth="1"/>
    <col min="15" max="15" width="9" style="20"/>
    <col min="16" max="17" width="8.5" style="20" bestFit="1" customWidth="1"/>
    <col min="18" max="18" width="10.125" style="20" bestFit="1" customWidth="1"/>
    <col min="19" max="16384" width="9" style="20"/>
  </cols>
  <sheetData>
    <row r="1" spans="1:18" ht="20.25" x14ac:dyDescent="0.2">
      <c r="A1" s="26"/>
      <c r="B1" s="36"/>
      <c r="C1" s="19"/>
      <c r="D1" s="19"/>
    </row>
    <row r="2" spans="1:18" ht="20.25" x14ac:dyDescent="0.2">
      <c r="A2" s="26"/>
      <c r="B2" s="36"/>
      <c r="C2" s="19"/>
      <c r="D2" s="19"/>
      <c r="N2" s="26"/>
      <c r="O2" s="26"/>
      <c r="P2" s="26"/>
    </row>
    <row r="3" spans="1:18" ht="20.25" x14ac:dyDescent="0.2">
      <c r="A3" s="26"/>
      <c r="B3" s="36"/>
      <c r="C3" s="19"/>
      <c r="D3" s="19"/>
      <c r="N3" s="26"/>
      <c r="O3" s="26"/>
      <c r="P3" s="26"/>
    </row>
    <row r="4" spans="1:18" x14ac:dyDescent="0.2">
      <c r="A4" s="26"/>
      <c r="B4" s="36"/>
      <c r="N4" s="26"/>
      <c r="O4" s="26"/>
      <c r="P4" s="26"/>
    </row>
    <row r="5" spans="1:18" x14ac:dyDescent="0.2">
      <c r="A5" s="26"/>
      <c r="B5" s="36"/>
      <c r="N5" s="26"/>
      <c r="O5" s="26"/>
      <c r="P5" s="26"/>
    </row>
    <row r="6" spans="1:18" x14ac:dyDescent="0.2">
      <c r="A6" s="26"/>
      <c r="B6" s="36"/>
    </row>
    <row r="7" spans="1:18" ht="6" customHeight="1" x14ac:dyDescent="0.2">
      <c r="A7" s="26"/>
      <c r="B7" s="36"/>
    </row>
    <row r="8" spans="1:18" ht="20.25" x14ac:dyDescent="0.2">
      <c r="A8" s="26"/>
      <c r="B8" s="36"/>
      <c r="Q8" s="58" t="s">
        <v>85</v>
      </c>
      <c r="R8" s="58"/>
    </row>
    <row r="9" spans="1:18" ht="24.75" customHeight="1" x14ac:dyDescent="0.2">
      <c r="A9" s="26"/>
      <c r="B9" s="36"/>
      <c r="C9" s="30" t="s">
        <v>73</v>
      </c>
      <c r="D9" s="30" t="s">
        <v>52</v>
      </c>
      <c r="E9" s="30" t="s">
        <v>35</v>
      </c>
      <c r="F9" s="30" t="s">
        <v>18</v>
      </c>
      <c r="G9" s="30" t="s">
        <v>26</v>
      </c>
      <c r="H9" s="30" t="s">
        <v>27</v>
      </c>
      <c r="I9" s="35"/>
      <c r="J9" s="38" t="s">
        <v>18</v>
      </c>
      <c r="K9" s="38" t="s">
        <v>74</v>
      </c>
      <c r="L9" s="38" t="s">
        <v>75</v>
      </c>
      <c r="M9" s="38" t="s">
        <v>25</v>
      </c>
      <c r="N9" s="26"/>
      <c r="O9" s="38" t="s">
        <v>82</v>
      </c>
      <c r="P9" s="38" t="s">
        <v>25</v>
      </c>
      <c r="Q9" s="38" t="s">
        <v>83</v>
      </c>
      <c r="R9" s="38" t="s">
        <v>84</v>
      </c>
    </row>
    <row r="10" spans="1:18" ht="15.75" x14ac:dyDescent="0.2">
      <c r="A10" s="26"/>
      <c r="B10" s="36"/>
      <c r="C10" s="30"/>
      <c r="D10" s="33">
        <v>45629</v>
      </c>
      <c r="E10" s="28">
        <f>MONTH(D10)</f>
        <v>12</v>
      </c>
      <c r="F10" s="28" t="s">
        <v>76</v>
      </c>
      <c r="G10" s="28">
        <v>50</v>
      </c>
      <c r="H10" s="28">
        <v>50</v>
      </c>
      <c r="I10" s="35"/>
      <c r="J10" s="29" t="s">
        <v>76</v>
      </c>
      <c r="K10" s="29">
        <f>SUMIF($F$10:$F$25,J10,$G$10:$G$25)</f>
        <v>251</v>
      </c>
      <c r="L10" s="29">
        <f>SUMIF($F$10:$F$25,J10,$H$10:$H$25)</f>
        <v>50</v>
      </c>
      <c r="M10" s="29">
        <f>K10+L10</f>
        <v>301</v>
      </c>
      <c r="N10" s="26"/>
      <c r="O10" s="29">
        <v>1</v>
      </c>
      <c r="P10" s="29">
        <f>SUMIF($E$10:$E$25,O10,$G$10:$G$25)</f>
        <v>52</v>
      </c>
      <c r="Q10" s="29">
        <f>'الاستاذ العام'!Y13</f>
        <v>0</v>
      </c>
      <c r="R10" s="29">
        <f>'الاستاذ العام'!Z13</f>
        <v>0</v>
      </c>
    </row>
    <row r="11" spans="1:18" ht="15.75" x14ac:dyDescent="0.2">
      <c r="A11" s="26"/>
      <c r="B11" s="36"/>
      <c r="C11" s="30"/>
      <c r="D11" s="33">
        <v>45662</v>
      </c>
      <c r="E11" s="28">
        <f t="shared" ref="E11:E14" si="0">MONTH(D11)</f>
        <v>1</v>
      </c>
      <c r="F11" s="28" t="s">
        <v>79</v>
      </c>
      <c r="G11" s="28">
        <v>52</v>
      </c>
      <c r="H11" s="28">
        <v>600</v>
      </c>
      <c r="I11" s="35"/>
      <c r="J11" s="29" t="s">
        <v>77</v>
      </c>
      <c r="K11" s="29">
        <f t="shared" ref="K11:K25" si="1">SUMIF($F$10:$F$25,J11,$G$10:$G$25)</f>
        <v>32</v>
      </c>
      <c r="L11" s="29">
        <f t="shared" ref="L11:L25" si="2">SUMIF($F$10:$F$25,J11,$H$10:$H$25)</f>
        <v>400</v>
      </c>
      <c r="M11" s="29">
        <f t="shared" ref="M11:M25" si="3">K11+L11</f>
        <v>432</v>
      </c>
      <c r="N11" s="26"/>
      <c r="O11" s="29">
        <v>2</v>
      </c>
      <c r="P11" s="29">
        <f t="shared" ref="P11:P21" si="4">SUMIF($E$10:$E$25,O11,$G$10:$G$25)</f>
        <v>32</v>
      </c>
      <c r="Q11" s="29">
        <f>'الاستاذ العام'!Y14</f>
        <v>0</v>
      </c>
      <c r="R11" s="29">
        <f>'الاستاذ العام'!Z14</f>
        <v>0</v>
      </c>
    </row>
    <row r="12" spans="1:18" ht="15.75" x14ac:dyDescent="0.2">
      <c r="A12" s="26"/>
      <c r="B12" s="36"/>
      <c r="C12" s="30"/>
      <c r="D12" s="33">
        <v>45691</v>
      </c>
      <c r="E12" s="28">
        <f t="shared" si="0"/>
        <v>2</v>
      </c>
      <c r="F12" s="28" t="s">
        <v>77</v>
      </c>
      <c r="G12" s="28">
        <v>32</v>
      </c>
      <c r="H12" s="28">
        <v>400</v>
      </c>
      <c r="I12" s="35"/>
      <c r="J12" s="29" t="s">
        <v>78</v>
      </c>
      <c r="K12" s="29">
        <f t="shared" si="1"/>
        <v>0</v>
      </c>
      <c r="L12" s="29">
        <f t="shared" si="2"/>
        <v>0</v>
      </c>
      <c r="M12" s="29">
        <f t="shared" si="3"/>
        <v>0</v>
      </c>
      <c r="N12" s="26"/>
      <c r="O12" s="29">
        <v>3</v>
      </c>
      <c r="P12" s="29">
        <f t="shared" si="4"/>
        <v>201</v>
      </c>
      <c r="Q12" s="29">
        <f>'الاستاذ العام'!Y15</f>
        <v>0</v>
      </c>
      <c r="R12" s="29">
        <f>'الاستاذ العام'!Z15</f>
        <v>0</v>
      </c>
    </row>
    <row r="13" spans="1:18" ht="15.75" x14ac:dyDescent="0.2">
      <c r="A13" s="26"/>
      <c r="B13" s="36"/>
      <c r="C13" s="30"/>
      <c r="D13" s="33">
        <v>45720</v>
      </c>
      <c r="E13" s="28">
        <f>MONTH(D13)</f>
        <v>3</v>
      </c>
      <c r="F13" s="28" t="s">
        <v>76</v>
      </c>
      <c r="G13" s="28">
        <v>201</v>
      </c>
      <c r="H13" s="28"/>
      <c r="I13" s="35"/>
      <c r="J13" s="29" t="s">
        <v>79</v>
      </c>
      <c r="K13" s="29">
        <f t="shared" si="1"/>
        <v>212</v>
      </c>
      <c r="L13" s="29">
        <f t="shared" si="2"/>
        <v>900</v>
      </c>
      <c r="M13" s="29">
        <f t="shared" si="3"/>
        <v>1112</v>
      </c>
      <c r="N13" s="26"/>
      <c r="O13" s="29">
        <v>4</v>
      </c>
      <c r="P13" s="29">
        <f t="shared" si="4"/>
        <v>160</v>
      </c>
      <c r="Q13" s="29">
        <f>'الاستاذ العام'!Y16</f>
        <v>0</v>
      </c>
      <c r="R13" s="29">
        <f>'الاستاذ العام'!Z16</f>
        <v>0</v>
      </c>
    </row>
    <row r="14" spans="1:18" ht="15.75" x14ac:dyDescent="0.2">
      <c r="A14" s="26"/>
      <c r="B14" s="36"/>
      <c r="C14" s="30"/>
      <c r="D14" s="33">
        <v>45749</v>
      </c>
      <c r="E14" s="28">
        <f t="shared" si="0"/>
        <v>4</v>
      </c>
      <c r="F14" s="28" t="s">
        <v>79</v>
      </c>
      <c r="G14" s="28">
        <v>160</v>
      </c>
      <c r="H14" s="28">
        <v>300</v>
      </c>
      <c r="I14" s="35"/>
      <c r="J14" s="29" t="s">
        <v>80</v>
      </c>
      <c r="K14" s="29">
        <f t="shared" si="1"/>
        <v>0</v>
      </c>
      <c r="L14" s="29">
        <f t="shared" si="2"/>
        <v>0</v>
      </c>
      <c r="M14" s="29">
        <f t="shared" si="3"/>
        <v>0</v>
      </c>
      <c r="N14" s="26"/>
      <c r="O14" s="29">
        <v>5</v>
      </c>
      <c r="P14" s="29">
        <f t="shared" si="4"/>
        <v>0</v>
      </c>
      <c r="Q14" s="29">
        <f>'الاستاذ العام'!Y17</f>
        <v>0</v>
      </c>
      <c r="R14" s="29">
        <f>'الاستاذ العام'!Z17</f>
        <v>0</v>
      </c>
    </row>
    <row r="15" spans="1:18" ht="15.75" x14ac:dyDescent="0.2">
      <c r="A15" s="26"/>
      <c r="B15" s="36"/>
      <c r="C15" s="30"/>
      <c r="D15" s="33"/>
      <c r="E15" s="28"/>
      <c r="F15" s="28"/>
      <c r="G15" s="28"/>
      <c r="H15" s="28"/>
      <c r="I15" s="35"/>
      <c r="J15" s="29" t="s">
        <v>81</v>
      </c>
      <c r="K15" s="29">
        <f t="shared" si="1"/>
        <v>0</v>
      </c>
      <c r="L15" s="29">
        <f t="shared" si="2"/>
        <v>0</v>
      </c>
      <c r="M15" s="29">
        <f t="shared" si="3"/>
        <v>0</v>
      </c>
      <c r="N15" s="26"/>
      <c r="O15" s="29">
        <v>6</v>
      </c>
      <c r="P15" s="29">
        <f t="shared" si="4"/>
        <v>0</v>
      </c>
      <c r="Q15" s="29">
        <f>'الاستاذ العام'!Y18</f>
        <v>0</v>
      </c>
      <c r="R15" s="29">
        <f>'الاستاذ العام'!Z18</f>
        <v>0</v>
      </c>
    </row>
    <row r="16" spans="1:18" ht="15.75" x14ac:dyDescent="0.2">
      <c r="A16" s="26"/>
      <c r="B16" s="36"/>
      <c r="C16" s="30"/>
      <c r="D16" s="33"/>
      <c r="E16" s="28"/>
      <c r="F16" s="28"/>
      <c r="G16" s="28"/>
      <c r="H16" s="28"/>
      <c r="I16" s="35"/>
      <c r="J16" s="29"/>
      <c r="K16" s="29">
        <f t="shared" si="1"/>
        <v>0</v>
      </c>
      <c r="L16" s="29">
        <f t="shared" si="2"/>
        <v>0</v>
      </c>
      <c r="M16" s="29">
        <f t="shared" si="3"/>
        <v>0</v>
      </c>
      <c r="N16" s="26"/>
      <c r="O16" s="29">
        <v>7</v>
      </c>
      <c r="P16" s="29">
        <f t="shared" si="4"/>
        <v>0</v>
      </c>
      <c r="Q16" s="29">
        <f>'الاستاذ العام'!Y19</f>
        <v>0</v>
      </c>
      <c r="R16" s="29">
        <f>'الاستاذ العام'!Z19</f>
        <v>0</v>
      </c>
    </row>
    <row r="17" spans="1:18" ht="15.75" x14ac:dyDescent="0.2">
      <c r="A17" s="26"/>
      <c r="B17" s="36"/>
      <c r="C17" s="30"/>
      <c r="D17" s="33"/>
      <c r="E17" s="28"/>
      <c r="F17" s="28"/>
      <c r="G17" s="28"/>
      <c r="H17" s="28"/>
      <c r="I17" s="35"/>
      <c r="J17" s="29"/>
      <c r="K17" s="29">
        <f t="shared" si="1"/>
        <v>0</v>
      </c>
      <c r="L17" s="29">
        <f t="shared" si="2"/>
        <v>0</v>
      </c>
      <c r="M17" s="29">
        <f t="shared" si="3"/>
        <v>0</v>
      </c>
      <c r="N17" s="26"/>
      <c r="O17" s="29">
        <v>8</v>
      </c>
      <c r="P17" s="29">
        <f t="shared" si="4"/>
        <v>0</v>
      </c>
      <c r="Q17" s="29">
        <f>'الاستاذ العام'!Y20</f>
        <v>0</v>
      </c>
      <c r="R17" s="29">
        <f>'الاستاذ العام'!Z20</f>
        <v>0</v>
      </c>
    </row>
    <row r="18" spans="1:18" ht="15.75" x14ac:dyDescent="0.2">
      <c r="A18" s="26"/>
      <c r="B18" s="36"/>
      <c r="C18" s="30"/>
      <c r="D18" s="33"/>
      <c r="E18" s="28"/>
      <c r="F18" s="28"/>
      <c r="G18" s="28"/>
      <c r="H18" s="28"/>
      <c r="I18" s="35"/>
      <c r="J18" s="29"/>
      <c r="K18" s="29">
        <f t="shared" si="1"/>
        <v>0</v>
      </c>
      <c r="L18" s="29">
        <f t="shared" si="2"/>
        <v>0</v>
      </c>
      <c r="M18" s="29">
        <f t="shared" si="3"/>
        <v>0</v>
      </c>
      <c r="N18" s="26"/>
      <c r="O18" s="29">
        <v>9</v>
      </c>
      <c r="P18" s="29">
        <f t="shared" si="4"/>
        <v>0</v>
      </c>
      <c r="Q18" s="29">
        <f>'الاستاذ العام'!Y21</f>
        <v>0</v>
      </c>
      <c r="R18" s="29">
        <f>'الاستاذ العام'!Z21</f>
        <v>0</v>
      </c>
    </row>
    <row r="19" spans="1:18" ht="15.75" x14ac:dyDescent="0.2">
      <c r="A19" s="26"/>
      <c r="B19" s="36"/>
      <c r="C19" s="30"/>
      <c r="D19" s="33"/>
      <c r="E19" s="28"/>
      <c r="F19" s="28"/>
      <c r="G19" s="28"/>
      <c r="H19" s="28"/>
      <c r="I19" s="35"/>
      <c r="J19" s="29"/>
      <c r="K19" s="29">
        <f t="shared" si="1"/>
        <v>0</v>
      </c>
      <c r="L19" s="29">
        <f t="shared" si="2"/>
        <v>0</v>
      </c>
      <c r="M19" s="29">
        <f t="shared" si="3"/>
        <v>0</v>
      </c>
      <c r="N19" s="26"/>
      <c r="O19" s="29">
        <v>10</v>
      </c>
      <c r="P19" s="29">
        <f t="shared" si="4"/>
        <v>0</v>
      </c>
      <c r="Q19" s="29">
        <f>'الاستاذ العام'!Y22</f>
        <v>0</v>
      </c>
      <c r="R19" s="29">
        <f>'الاستاذ العام'!Z22</f>
        <v>0</v>
      </c>
    </row>
    <row r="20" spans="1:18" ht="15.75" x14ac:dyDescent="0.2">
      <c r="A20" s="26"/>
      <c r="B20" s="36"/>
      <c r="C20" s="30"/>
      <c r="D20" s="33"/>
      <c r="E20" s="28"/>
      <c r="F20" s="28"/>
      <c r="G20" s="28"/>
      <c r="H20" s="28"/>
      <c r="I20" s="35"/>
      <c r="J20" s="29"/>
      <c r="K20" s="29">
        <f t="shared" si="1"/>
        <v>0</v>
      </c>
      <c r="L20" s="29">
        <f t="shared" si="2"/>
        <v>0</v>
      </c>
      <c r="M20" s="29">
        <f t="shared" si="3"/>
        <v>0</v>
      </c>
      <c r="N20" s="26"/>
      <c r="O20" s="29">
        <v>11</v>
      </c>
      <c r="P20" s="29">
        <f t="shared" si="4"/>
        <v>0</v>
      </c>
      <c r="Q20" s="29">
        <f>'الاستاذ العام'!Y23</f>
        <v>0</v>
      </c>
      <c r="R20" s="29">
        <f>'الاستاذ العام'!Z23</f>
        <v>0</v>
      </c>
    </row>
    <row r="21" spans="1:18" ht="15.75" x14ac:dyDescent="0.2">
      <c r="A21" s="26"/>
      <c r="B21" s="36"/>
      <c r="C21" s="30"/>
      <c r="D21" s="33"/>
      <c r="E21" s="28"/>
      <c r="F21" s="28"/>
      <c r="G21" s="28"/>
      <c r="H21" s="28"/>
      <c r="I21" s="35"/>
      <c r="J21" s="29"/>
      <c r="K21" s="29">
        <f t="shared" si="1"/>
        <v>0</v>
      </c>
      <c r="L21" s="29">
        <f t="shared" si="2"/>
        <v>0</v>
      </c>
      <c r="M21" s="29">
        <f t="shared" si="3"/>
        <v>0</v>
      </c>
      <c r="N21" s="26"/>
      <c r="O21" s="29">
        <v>12</v>
      </c>
      <c r="P21" s="29">
        <f t="shared" si="4"/>
        <v>50</v>
      </c>
      <c r="Q21" s="29">
        <f>'الاستاذ العام'!Y24</f>
        <v>0</v>
      </c>
      <c r="R21" s="29">
        <f>'الاستاذ العام'!Z24</f>
        <v>0</v>
      </c>
    </row>
    <row r="22" spans="1:18" ht="15.75" x14ac:dyDescent="0.2">
      <c r="A22" s="26"/>
      <c r="B22" s="36"/>
      <c r="C22" s="30"/>
      <c r="D22" s="33"/>
      <c r="E22" s="28"/>
      <c r="F22" s="28"/>
      <c r="G22" s="28"/>
      <c r="H22" s="28"/>
      <c r="I22" s="35"/>
      <c r="J22" s="29"/>
      <c r="K22" s="29">
        <f t="shared" si="1"/>
        <v>0</v>
      </c>
      <c r="L22" s="29">
        <f t="shared" si="2"/>
        <v>0</v>
      </c>
      <c r="M22" s="29">
        <f t="shared" si="3"/>
        <v>0</v>
      </c>
      <c r="N22" s="26"/>
      <c r="O22" s="29"/>
      <c r="P22" s="29"/>
      <c r="Q22" s="29"/>
      <c r="R22" s="29"/>
    </row>
    <row r="23" spans="1:18" ht="15.75" x14ac:dyDescent="0.2">
      <c r="A23" s="26"/>
      <c r="B23" s="36"/>
      <c r="C23" s="30"/>
      <c r="D23" s="33"/>
      <c r="E23" s="28"/>
      <c r="F23" s="28"/>
      <c r="G23" s="28"/>
      <c r="H23" s="28"/>
      <c r="I23" s="35"/>
      <c r="J23" s="29"/>
      <c r="K23" s="29">
        <f t="shared" si="1"/>
        <v>0</v>
      </c>
      <c r="L23" s="29">
        <f t="shared" si="2"/>
        <v>0</v>
      </c>
      <c r="M23" s="29">
        <f t="shared" si="3"/>
        <v>0</v>
      </c>
      <c r="N23" s="26"/>
      <c r="O23" s="29"/>
      <c r="P23" s="29"/>
      <c r="Q23" s="29"/>
      <c r="R23" s="29"/>
    </row>
    <row r="24" spans="1:18" ht="15.75" x14ac:dyDescent="0.2">
      <c r="A24" s="26"/>
      <c r="B24" s="36"/>
      <c r="C24" s="30"/>
      <c r="D24" s="33"/>
      <c r="E24" s="28"/>
      <c r="F24" s="28"/>
      <c r="G24" s="28"/>
      <c r="H24" s="28"/>
      <c r="I24" s="35"/>
      <c r="J24" s="29"/>
      <c r="K24" s="29">
        <f t="shared" si="1"/>
        <v>0</v>
      </c>
      <c r="L24" s="29">
        <f t="shared" si="2"/>
        <v>0</v>
      </c>
      <c r="M24" s="29">
        <f t="shared" si="3"/>
        <v>0</v>
      </c>
      <c r="N24" s="26"/>
      <c r="O24" s="29"/>
      <c r="P24" s="29"/>
      <c r="Q24" s="29"/>
      <c r="R24" s="29"/>
    </row>
    <row r="25" spans="1:18" ht="15.75" x14ac:dyDescent="0.2">
      <c r="A25" s="26"/>
      <c r="B25" s="36"/>
      <c r="C25" s="30"/>
      <c r="D25" s="33"/>
      <c r="E25" s="28"/>
      <c r="F25" s="28"/>
      <c r="G25" s="28"/>
      <c r="H25" s="28"/>
      <c r="I25" s="35"/>
      <c r="J25" s="29"/>
      <c r="K25" s="29">
        <f t="shared" si="1"/>
        <v>0</v>
      </c>
      <c r="L25" s="29">
        <f t="shared" si="2"/>
        <v>0</v>
      </c>
      <c r="M25" s="29">
        <f t="shared" si="3"/>
        <v>0</v>
      </c>
      <c r="N25" s="26"/>
      <c r="O25" s="29"/>
      <c r="P25" s="29"/>
      <c r="Q25" s="29"/>
      <c r="R25" s="29"/>
    </row>
    <row r="26" spans="1:18" ht="15.75" x14ac:dyDescent="0.2">
      <c r="A26" s="26"/>
      <c r="B26" s="36"/>
      <c r="C26" s="30"/>
      <c r="D26" s="30" t="s">
        <v>25</v>
      </c>
      <c r="E26" s="30"/>
      <c r="F26" s="30">
        <f>SUM(F11:F25)</f>
        <v>0</v>
      </c>
      <c r="G26" s="30">
        <f>SUM(G11:G25)</f>
        <v>445</v>
      </c>
      <c r="H26" s="30">
        <f>SUM(H11:H25)</f>
        <v>1300</v>
      </c>
      <c r="I26" s="35"/>
      <c r="J26" s="38" t="s">
        <v>25</v>
      </c>
      <c r="K26" s="38">
        <f>SUM(K10:K25)</f>
        <v>495</v>
      </c>
      <c r="L26" s="38">
        <f t="shared" ref="L26:M26" si="5">SUM(L10:L25)</f>
        <v>1350</v>
      </c>
      <c r="M26" s="38">
        <f t="shared" si="5"/>
        <v>1845</v>
      </c>
      <c r="N26" s="26"/>
      <c r="O26" s="29"/>
      <c r="P26" s="29"/>
      <c r="Q26" s="29"/>
      <c r="R26" s="29"/>
    </row>
    <row r="27" spans="1:18" x14ac:dyDescent="0.2">
      <c r="A27" s="26"/>
      <c r="B27" s="36"/>
    </row>
    <row r="28" spans="1:18" x14ac:dyDescent="0.2">
      <c r="A28" s="26"/>
      <c r="B28" s="36"/>
    </row>
    <row r="29" spans="1:18" x14ac:dyDescent="0.2">
      <c r="A29" s="26"/>
      <c r="B29" s="36"/>
    </row>
    <row r="30" spans="1:18" x14ac:dyDescent="0.2">
      <c r="A30" s="26"/>
      <c r="B30" s="36"/>
    </row>
    <row r="31" spans="1:18" x14ac:dyDescent="0.2">
      <c r="A31" s="26"/>
      <c r="B31" s="36"/>
    </row>
    <row r="32" spans="1:18" x14ac:dyDescent="0.2">
      <c r="A32" s="26"/>
      <c r="B32" s="36"/>
    </row>
    <row r="33" spans="1:2" x14ac:dyDescent="0.2">
      <c r="A33" s="26"/>
      <c r="B33" s="36"/>
    </row>
    <row r="34" spans="1:2" x14ac:dyDescent="0.2">
      <c r="A34" s="26"/>
      <c r="B34" s="36"/>
    </row>
  </sheetData>
  <mergeCells count="1">
    <mergeCell ref="Q8:R8"/>
  </mergeCells>
  <dataValidations count="1">
    <dataValidation type="list" allowBlank="1" showInputMessage="1" showErrorMessage="1" errorTitle="خطأ فى الادخال" error="برجاء ادخال البيانات فى قائمه العملاء اولا" sqref="F10:F25">
      <formula1>$J$10:$J$25</formula1>
    </dataValidation>
  </dataValidation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rightToLeft="1" workbookViewId="0">
      <selection activeCell="H20" sqref="H20"/>
    </sheetView>
  </sheetViews>
  <sheetFormatPr defaultRowHeight="14.25" x14ac:dyDescent="0.2"/>
  <cols>
    <col min="1" max="1" width="2.625" style="20" customWidth="1"/>
    <col min="2" max="2" width="3" style="20" customWidth="1"/>
    <col min="3" max="3" width="9.625" style="20" customWidth="1"/>
    <col min="4" max="4" width="13.375" style="20" customWidth="1"/>
    <col min="5" max="5" width="5.625" style="20" customWidth="1"/>
    <col min="6" max="6" width="26.75" style="20" customWidth="1"/>
    <col min="7" max="8" width="12.5" style="20" customWidth="1"/>
    <col min="9" max="9" width="2" style="20" customWidth="1"/>
    <col min="10" max="10" width="19.875" style="20" customWidth="1"/>
    <col min="11" max="11" width="15.625" style="20" customWidth="1"/>
    <col min="12" max="12" width="3" style="20" customWidth="1"/>
    <col min="13" max="13" width="9" style="20"/>
    <col min="14" max="14" width="13.625" style="20" bestFit="1" customWidth="1"/>
    <col min="15" max="15" width="13.25" style="20" bestFit="1" customWidth="1"/>
    <col min="16" max="16" width="9" style="20" customWidth="1"/>
    <col min="17" max="16384" width="9" style="20"/>
  </cols>
  <sheetData>
    <row r="1" spans="1:15" ht="20.25" x14ac:dyDescent="0.2">
      <c r="A1" s="26"/>
      <c r="B1" s="36"/>
      <c r="C1" s="19"/>
      <c r="D1" s="19"/>
    </row>
    <row r="2" spans="1:15" ht="20.25" x14ac:dyDescent="0.2">
      <c r="A2" s="26"/>
      <c r="B2" s="36"/>
      <c r="C2" s="19"/>
      <c r="D2" s="19"/>
      <c r="L2" s="26"/>
      <c r="M2" s="26"/>
      <c r="N2" s="26"/>
    </row>
    <row r="3" spans="1:15" ht="20.25" x14ac:dyDescent="0.2">
      <c r="A3" s="26"/>
      <c r="B3" s="36"/>
      <c r="C3" s="19"/>
      <c r="D3" s="19"/>
      <c r="L3" s="26"/>
      <c r="M3" s="26"/>
      <c r="N3" s="26"/>
    </row>
    <row r="4" spans="1:15" x14ac:dyDescent="0.2">
      <c r="A4" s="26"/>
      <c r="B4" s="36"/>
      <c r="L4" s="26"/>
      <c r="M4" s="26"/>
      <c r="N4" s="26"/>
    </row>
    <row r="5" spans="1:15" x14ac:dyDescent="0.2">
      <c r="A5" s="26"/>
      <c r="B5" s="36"/>
      <c r="L5" s="26"/>
      <c r="M5" s="26"/>
      <c r="N5" s="26"/>
    </row>
    <row r="6" spans="1:15" x14ac:dyDescent="0.2">
      <c r="A6" s="26"/>
      <c r="B6" s="36"/>
    </row>
    <row r="7" spans="1:15" ht="6" customHeight="1" x14ac:dyDescent="0.2">
      <c r="A7" s="26"/>
      <c r="B7" s="36"/>
    </row>
    <row r="8" spans="1:15" ht="20.25" x14ac:dyDescent="0.2">
      <c r="A8" s="26"/>
      <c r="B8" s="36"/>
      <c r="O8" s="44"/>
    </row>
    <row r="9" spans="1:15" ht="24.75" customHeight="1" x14ac:dyDescent="0.2">
      <c r="A9" s="26"/>
      <c r="B9" s="36"/>
      <c r="C9" s="30" t="s">
        <v>73</v>
      </c>
      <c r="D9" s="30" t="s">
        <v>52</v>
      </c>
      <c r="E9" s="30" t="s">
        <v>35</v>
      </c>
      <c r="F9" s="30" t="s">
        <v>18</v>
      </c>
      <c r="G9" s="30" t="s">
        <v>26</v>
      </c>
      <c r="H9" s="30" t="s">
        <v>27</v>
      </c>
      <c r="I9" s="35"/>
      <c r="J9" s="38" t="s">
        <v>18</v>
      </c>
      <c r="K9" s="38" t="s">
        <v>75</v>
      </c>
      <c r="L9" s="26"/>
      <c r="M9" s="38" t="s">
        <v>87</v>
      </c>
      <c r="N9" s="38" t="s">
        <v>88</v>
      </c>
      <c r="O9" s="38" t="s">
        <v>89</v>
      </c>
    </row>
    <row r="10" spans="1:15" ht="15.75" x14ac:dyDescent="0.2">
      <c r="A10" s="26"/>
      <c r="B10" s="36"/>
      <c r="C10" s="30"/>
      <c r="D10" s="33">
        <v>45629</v>
      </c>
      <c r="E10" s="28">
        <f>MONTH(D10)</f>
        <v>12</v>
      </c>
      <c r="F10" s="28" t="s">
        <v>86</v>
      </c>
      <c r="G10" s="28"/>
      <c r="H10" s="28">
        <v>400000</v>
      </c>
      <c r="I10" s="35"/>
      <c r="J10" s="29" t="s">
        <v>86</v>
      </c>
      <c r="K10" s="29">
        <f>SUMIF($F$10:$F$25,J10,$H$10:$H$25)</f>
        <v>400000</v>
      </c>
      <c r="L10" s="26"/>
      <c r="M10" s="28">
        <v>1</v>
      </c>
      <c r="N10" s="29">
        <f>SUMIF($E$10:$E$25,M10,$H$10:$H$255)</f>
        <v>600</v>
      </c>
      <c r="O10" s="29">
        <f>'الاستاذ العام'!X13</f>
        <v>0</v>
      </c>
    </row>
    <row r="11" spans="1:15" ht="15.75" x14ac:dyDescent="0.2">
      <c r="A11" s="26"/>
      <c r="B11" s="36"/>
      <c r="C11" s="30"/>
      <c r="D11" s="33">
        <v>45662</v>
      </c>
      <c r="E11" s="28">
        <f t="shared" ref="E11:E14" si="0">MONTH(D11)</f>
        <v>1</v>
      </c>
      <c r="F11" s="28"/>
      <c r="G11" s="28"/>
      <c r="H11" s="28">
        <v>600</v>
      </c>
      <c r="I11" s="35"/>
      <c r="J11" s="29"/>
      <c r="K11" s="29">
        <f>SUMIF($F$10:$F$25,J11,$H$10:$H$25)</f>
        <v>0</v>
      </c>
      <c r="L11" s="26"/>
      <c r="M11" s="28">
        <v>2</v>
      </c>
      <c r="N11" s="29">
        <f t="shared" ref="N11:N21" si="1">SUMIF($E$10:$E$25,M11,$H$10:$H$255)</f>
        <v>400</v>
      </c>
      <c r="O11" s="29">
        <f>'الاستاذ العام'!X14</f>
        <v>0</v>
      </c>
    </row>
    <row r="12" spans="1:15" ht="15.75" x14ac:dyDescent="0.2">
      <c r="A12" s="26"/>
      <c r="B12" s="36"/>
      <c r="C12" s="30"/>
      <c r="D12" s="33">
        <v>45691</v>
      </c>
      <c r="E12" s="28">
        <f t="shared" si="0"/>
        <v>2</v>
      </c>
      <c r="F12" s="28"/>
      <c r="G12" s="28"/>
      <c r="H12" s="28">
        <v>400</v>
      </c>
      <c r="I12" s="35"/>
      <c r="J12" s="29"/>
      <c r="K12" s="29">
        <f>SUMIF($F$10:$F$25,J12,$H$10:$H$25)</f>
        <v>0</v>
      </c>
      <c r="L12" s="26"/>
      <c r="M12" s="28">
        <v>3</v>
      </c>
      <c r="N12" s="29">
        <f t="shared" si="1"/>
        <v>0</v>
      </c>
      <c r="O12" s="29">
        <f>'الاستاذ العام'!X15</f>
        <v>0</v>
      </c>
    </row>
    <row r="13" spans="1:15" ht="15.75" x14ac:dyDescent="0.2">
      <c r="A13" s="26"/>
      <c r="B13" s="36"/>
      <c r="C13" s="30"/>
      <c r="D13" s="33">
        <v>45720</v>
      </c>
      <c r="E13" s="28">
        <f>MONTH(D13)</f>
        <v>3</v>
      </c>
      <c r="F13" s="28"/>
      <c r="G13" s="28"/>
      <c r="H13" s="28"/>
      <c r="I13" s="35"/>
      <c r="J13" s="29"/>
      <c r="K13" s="29">
        <f>SUMIF($F$10:$F$25,J13,$H$10:$H$25)</f>
        <v>0</v>
      </c>
      <c r="L13" s="26"/>
      <c r="M13" s="28">
        <v>4</v>
      </c>
      <c r="N13" s="29">
        <f t="shared" si="1"/>
        <v>300</v>
      </c>
      <c r="O13" s="29">
        <f>'الاستاذ العام'!X16</f>
        <v>0</v>
      </c>
    </row>
    <row r="14" spans="1:15" ht="15.75" x14ac:dyDescent="0.2">
      <c r="A14" s="26"/>
      <c r="B14" s="36"/>
      <c r="C14" s="30"/>
      <c r="D14" s="33">
        <v>45749</v>
      </c>
      <c r="E14" s="28">
        <f t="shared" si="0"/>
        <v>4</v>
      </c>
      <c r="F14" s="28"/>
      <c r="G14" s="28"/>
      <c r="H14" s="28">
        <v>300</v>
      </c>
      <c r="I14" s="35"/>
      <c r="J14" s="29"/>
      <c r="K14" s="29">
        <f>SUMIF($F$10:$F$25,J14,$H$10:$H$25)</f>
        <v>0</v>
      </c>
      <c r="L14" s="26"/>
      <c r="M14" s="28">
        <v>5</v>
      </c>
      <c r="N14" s="29">
        <f t="shared" si="1"/>
        <v>0</v>
      </c>
      <c r="O14" s="29">
        <f>'الاستاذ العام'!X17</f>
        <v>0</v>
      </c>
    </row>
    <row r="15" spans="1:15" ht="15.75" x14ac:dyDescent="0.2">
      <c r="A15" s="26"/>
      <c r="B15" s="36"/>
      <c r="C15" s="30"/>
      <c r="D15" s="33"/>
      <c r="E15" s="28"/>
      <c r="F15" s="28"/>
      <c r="G15" s="28"/>
      <c r="H15" s="28"/>
      <c r="I15" s="35"/>
      <c r="J15" s="29"/>
      <c r="K15" s="29">
        <f>SUMIF($F$10:$F$25,J15,$H$10:$H$25)</f>
        <v>0</v>
      </c>
      <c r="L15" s="26"/>
      <c r="M15" s="28">
        <v>6</v>
      </c>
      <c r="N15" s="29">
        <f t="shared" si="1"/>
        <v>0</v>
      </c>
      <c r="O15" s="29">
        <f>'الاستاذ العام'!X18</f>
        <v>0</v>
      </c>
    </row>
    <row r="16" spans="1:15" ht="15.75" x14ac:dyDescent="0.2">
      <c r="A16" s="26"/>
      <c r="B16" s="36"/>
      <c r="C16" s="30"/>
      <c r="D16" s="33"/>
      <c r="E16" s="28"/>
      <c r="F16" s="28"/>
      <c r="G16" s="28"/>
      <c r="H16" s="28"/>
      <c r="I16" s="35"/>
      <c r="J16" s="29"/>
      <c r="K16" s="29">
        <f>SUMIF($F$10:$F$25,J16,$H$10:$H$25)</f>
        <v>0</v>
      </c>
      <c r="L16" s="26"/>
      <c r="M16" s="28">
        <v>7</v>
      </c>
      <c r="N16" s="29">
        <f t="shared" si="1"/>
        <v>0</v>
      </c>
      <c r="O16" s="29">
        <f>'الاستاذ العام'!X19</f>
        <v>0</v>
      </c>
    </row>
    <row r="17" spans="1:15" ht="15.75" x14ac:dyDescent="0.2">
      <c r="A17" s="26"/>
      <c r="B17" s="36"/>
      <c r="C17" s="30"/>
      <c r="D17" s="33"/>
      <c r="E17" s="28"/>
      <c r="F17" s="28"/>
      <c r="G17" s="28"/>
      <c r="H17" s="28"/>
      <c r="I17" s="35"/>
      <c r="J17" s="29"/>
      <c r="K17" s="29">
        <f>SUMIF($F$10:$F$25,J17,$H$10:$H$25)</f>
        <v>0</v>
      </c>
      <c r="L17" s="26"/>
      <c r="M17" s="28">
        <v>8</v>
      </c>
      <c r="N17" s="29">
        <f t="shared" si="1"/>
        <v>0</v>
      </c>
      <c r="O17" s="29">
        <f>'الاستاذ العام'!X20</f>
        <v>0</v>
      </c>
    </row>
    <row r="18" spans="1:15" ht="15.75" x14ac:dyDescent="0.2">
      <c r="A18" s="26"/>
      <c r="B18" s="36"/>
      <c r="C18" s="30"/>
      <c r="D18" s="33"/>
      <c r="E18" s="28"/>
      <c r="F18" s="28"/>
      <c r="G18" s="28"/>
      <c r="H18" s="28"/>
      <c r="I18" s="35"/>
      <c r="J18" s="29"/>
      <c r="K18" s="29">
        <f>SUMIF($F$10:$F$25,J18,$H$10:$H$25)</f>
        <v>0</v>
      </c>
      <c r="L18" s="26"/>
      <c r="M18" s="28">
        <v>9</v>
      </c>
      <c r="N18" s="29">
        <f t="shared" si="1"/>
        <v>0</v>
      </c>
      <c r="O18" s="29">
        <f>'الاستاذ العام'!X21</f>
        <v>0</v>
      </c>
    </row>
    <row r="19" spans="1:15" ht="15.75" x14ac:dyDescent="0.2">
      <c r="A19" s="26"/>
      <c r="B19" s="36"/>
      <c r="C19" s="30"/>
      <c r="D19" s="33"/>
      <c r="E19" s="28"/>
      <c r="F19" s="28"/>
      <c r="G19" s="28"/>
      <c r="H19" s="28"/>
      <c r="I19" s="35"/>
      <c r="J19" s="29"/>
      <c r="K19" s="29">
        <f>SUMIF($F$10:$F$25,J19,$H$10:$H$25)</f>
        <v>0</v>
      </c>
      <c r="L19" s="26"/>
      <c r="M19" s="28">
        <v>10</v>
      </c>
      <c r="N19" s="29">
        <f t="shared" si="1"/>
        <v>0</v>
      </c>
      <c r="O19" s="29">
        <f>'الاستاذ العام'!X22</f>
        <v>0</v>
      </c>
    </row>
    <row r="20" spans="1:15" ht="15.75" x14ac:dyDescent="0.2">
      <c r="A20" s="26"/>
      <c r="B20" s="36"/>
      <c r="C20" s="30"/>
      <c r="D20" s="33"/>
      <c r="E20" s="28"/>
      <c r="F20" s="28"/>
      <c r="G20" s="28"/>
      <c r="H20" s="28"/>
      <c r="I20" s="35"/>
      <c r="J20" s="29"/>
      <c r="K20" s="29">
        <f>SUMIF($F$10:$F$25,J20,$H$10:$H$25)</f>
        <v>0</v>
      </c>
      <c r="L20" s="26"/>
      <c r="M20" s="28">
        <v>11</v>
      </c>
      <c r="N20" s="29">
        <f t="shared" si="1"/>
        <v>0</v>
      </c>
      <c r="O20" s="29">
        <f>'الاستاذ العام'!X23</f>
        <v>0</v>
      </c>
    </row>
    <row r="21" spans="1:15" ht="15.75" x14ac:dyDescent="0.2">
      <c r="A21" s="26"/>
      <c r="B21" s="36"/>
      <c r="C21" s="30"/>
      <c r="D21" s="33"/>
      <c r="E21" s="28"/>
      <c r="F21" s="28"/>
      <c r="G21" s="28"/>
      <c r="H21" s="28"/>
      <c r="I21" s="35"/>
      <c r="J21" s="29"/>
      <c r="K21" s="29">
        <f>SUMIF($F$10:$F$25,J21,$H$10:$H$25)</f>
        <v>0</v>
      </c>
      <c r="L21" s="26"/>
      <c r="M21" s="28">
        <v>12</v>
      </c>
      <c r="N21" s="29">
        <f t="shared" si="1"/>
        <v>400000</v>
      </c>
      <c r="O21" s="29">
        <f>'الاستاذ العام'!X24</f>
        <v>0</v>
      </c>
    </row>
    <row r="22" spans="1:15" ht="15.75" x14ac:dyDescent="0.2">
      <c r="A22" s="26"/>
      <c r="B22" s="36"/>
      <c r="C22" s="30"/>
      <c r="D22" s="33"/>
      <c r="E22" s="28"/>
      <c r="F22" s="28"/>
      <c r="G22" s="28"/>
      <c r="H22" s="28"/>
      <c r="I22" s="35"/>
      <c r="J22" s="29"/>
      <c r="K22" s="29">
        <f>SUMIF($F$10:$F$25,J22,$H$10:$H$25)</f>
        <v>0</v>
      </c>
      <c r="L22" s="26"/>
      <c r="M22" s="29"/>
      <c r="N22" s="29"/>
      <c r="O22" s="29"/>
    </row>
    <row r="23" spans="1:15" ht="15.75" x14ac:dyDescent="0.2">
      <c r="A23" s="26"/>
      <c r="B23" s="36"/>
      <c r="C23" s="30"/>
      <c r="D23" s="33"/>
      <c r="E23" s="28"/>
      <c r="F23" s="28"/>
      <c r="G23" s="28"/>
      <c r="H23" s="28"/>
      <c r="I23" s="35"/>
      <c r="J23" s="29"/>
      <c r="K23" s="29">
        <f>SUMIF($F$10:$F$25,J23,$H$10:$H$25)</f>
        <v>0</v>
      </c>
      <c r="L23" s="26"/>
      <c r="M23" s="29"/>
      <c r="N23" s="29"/>
      <c r="O23" s="29"/>
    </row>
    <row r="24" spans="1:15" ht="15.75" x14ac:dyDescent="0.2">
      <c r="A24" s="26"/>
      <c r="B24" s="36"/>
      <c r="C24" s="30"/>
      <c r="D24" s="33"/>
      <c r="E24" s="28"/>
      <c r="F24" s="28"/>
      <c r="G24" s="28"/>
      <c r="H24" s="28"/>
      <c r="I24" s="35"/>
      <c r="J24" s="29"/>
      <c r="K24" s="29">
        <f>SUMIF($F$10:$F$25,J24,$H$10:$H$25)</f>
        <v>0</v>
      </c>
      <c r="L24" s="26"/>
      <c r="M24" s="29"/>
      <c r="N24" s="29"/>
      <c r="O24" s="29"/>
    </row>
    <row r="25" spans="1:15" ht="15.75" x14ac:dyDescent="0.2">
      <c r="A25" s="26"/>
      <c r="B25" s="36"/>
      <c r="C25" s="30"/>
      <c r="D25" s="33"/>
      <c r="E25" s="28"/>
      <c r="F25" s="28"/>
      <c r="G25" s="28"/>
      <c r="H25" s="28"/>
      <c r="I25" s="35"/>
      <c r="J25" s="29"/>
      <c r="K25" s="29">
        <f>SUMIF($F$10:$F$25,J25,$H$10:$H$25)</f>
        <v>0</v>
      </c>
      <c r="L25" s="26"/>
      <c r="M25" s="29"/>
      <c r="N25" s="29"/>
      <c r="O25" s="29"/>
    </row>
    <row r="26" spans="1:15" ht="15.75" x14ac:dyDescent="0.2">
      <c r="A26" s="26"/>
      <c r="B26" s="36"/>
      <c r="C26" s="30"/>
      <c r="D26" s="30" t="s">
        <v>25</v>
      </c>
      <c r="E26" s="30"/>
      <c r="F26" s="30">
        <f>SUM(F11:F25)</f>
        <v>0</v>
      </c>
      <c r="G26" s="30">
        <f>SUM(G11:G25)</f>
        <v>0</v>
      </c>
      <c r="H26" s="30">
        <f>SUM(H11:H25)</f>
        <v>1300</v>
      </c>
      <c r="I26" s="35"/>
      <c r="J26" s="38" t="s">
        <v>25</v>
      </c>
      <c r="K26" s="38">
        <f t="shared" ref="K26" si="2">SUM(K10:K25)</f>
        <v>400000</v>
      </c>
      <c r="L26" s="26"/>
      <c r="M26" s="29"/>
      <c r="N26" s="29"/>
      <c r="O26" s="29"/>
    </row>
    <row r="27" spans="1:15" x14ac:dyDescent="0.2">
      <c r="A27" s="26"/>
      <c r="B27" s="36"/>
    </row>
    <row r="28" spans="1:15" x14ac:dyDescent="0.2">
      <c r="A28" s="26"/>
      <c r="B28" s="36"/>
    </row>
    <row r="29" spans="1:15" x14ac:dyDescent="0.2">
      <c r="A29" s="26"/>
      <c r="B29" s="36"/>
    </row>
    <row r="30" spans="1:15" x14ac:dyDescent="0.2">
      <c r="A30" s="26"/>
      <c r="B30" s="36"/>
    </row>
    <row r="31" spans="1:15" x14ac:dyDescent="0.2">
      <c r="A31" s="26"/>
      <c r="B31" s="36"/>
    </row>
    <row r="32" spans="1:15" x14ac:dyDescent="0.2">
      <c r="A32" s="26"/>
      <c r="B32" s="36"/>
    </row>
    <row r="33" spans="1:2" x14ac:dyDescent="0.2">
      <c r="A33" s="26"/>
      <c r="B33" s="36"/>
    </row>
    <row r="34" spans="1:2" x14ac:dyDescent="0.2">
      <c r="A34" s="26"/>
      <c r="B34" s="36"/>
    </row>
  </sheetData>
  <dataValidations count="1">
    <dataValidation type="list" allowBlank="1" showInputMessage="1" showErrorMessage="1" errorTitle="خطأ فى الادخال" error="برجاء ادخال البيانات فى قائمه العملاء اولا" sqref="F10:F25">
      <formula1>$J$10:$J$25</formula1>
    </dataValidation>
  </dataValidation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rightToLeft="1" tabSelected="1" topLeftCell="E1" workbookViewId="0">
      <selection activeCell="H10" sqref="H10"/>
    </sheetView>
  </sheetViews>
  <sheetFormatPr defaultRowHeight="14.25" x14ac:dyDescent="0.2"/>
  <cols>
    <col min="1" max="1" width="2.625" style="20" customWidth="1"/>
    <col min="2" max="2" width="3" style="20" customWidth="1"/>
    <col min="3" max="3" width="8.875" style="20" customWidth="1"/>
    <col min="4" max="4" width="24" style="20" customWidth="1"/>
    <col min="5" max="5" width="23" style="20" bestFit="1" customWidth="1"/>
    <col min="6" max="6" width="19.375" style="20" bestFit="1" customWidth="1"/>
    <col min="7" max="7" width="12.25" style="20" customWidth="1"/>
    <col min="8" max="8" width="19.5" style="20" bestFit="1" customWidth="1"/>
    <col min="9" max="9" width="17.375" style="20" bestFit="1" customWidth="1"/>
    <col min="10" max="10" width="18" style="20" bestFit="1" customWidth="1"/>
    <col min="11" max="11" width="9.625" style="20" bestFit="1" customWidth="1"/>
    <col min="12" max="12" width="14" style="20" bestFit="1" customWidth="1"/>
    <col min="13" max="13" width="8.875" style="20" customWidth="1"/>
    <col min="14" max="15" width="9" style="20"/>
    <col min="16" max="16" width="20.875" style="20" bestFit="1" customWidth="1"/>
    <col min="17" max="16384" width="9" style="20"/>
  </cols>
  <sheetData>
    <row r="1" spans="1:17" ht="20.25" x14ac:dyDescent="0.2">
      <c r="A1" s="26"/>
      <c r="B1" s="36"/>
      <c r="C1" s="19"/>
      <c r="D1" s="19"/>
    </row>
    <row r="2" spans="1:17" ht="20.25" x14ac:dyDescent="0.2">
      <c r="A2" s="26"/>
      <c r="B2" s="36"/>
      <c r="C2" s="19"/>
      <c r="D2" s="19"/>
    </row>
    <row r="3" spans="1:17" ht="20.25" x14ac:dyDescent="0.2">
      <c r="A3" s="26"/>
      <c r="B3" s="36"/>
      <c r="C3" s="19"/>
      <c r="D3" s="19"/>
      <c r="O3" s="20" t="s">
        <v>111</v>
      </c>
      <c r="P3" s="66">
        <v>44671</v>
      </c>
    </row>
    <row r="4" spans="1:17" x14ac:dyDescent="0.2">
      <c r="A4" s="26"/>
      <c r="B4" s="36"/>
    </row>
    <row r="5" spans="1:17" x14ac:dyDescent="0.2">
      <c r="A5" s="26"/>
      <c r="B5" s="36"/>
    </row>
    <row r="6" spans="1:17" x14ac:dyDescent="0.2">
      <c r="A6" s="26"/>
      <c r="B6" s="36"/>
    </row>
    <row r="7" spans="1:17" ht="6" customHeight="1" x14ac:dyDescent="0.2">
      <c r="A7" s="26"/>
      <c r="B7" s="36"/>
    </row>
    <row r="8" spans="1:17" x14ac:dyDescent="0.2">
      <c r="A8" s="26"/>
      <c r="B8" s="36"/>
    </row>
    <row r="9" spans="1:17" ht="24.75" customHeight="1" x14ac:dyDescent="0.2">
      <c r="A9" s="26"/>
      <c r="B9" s="36"/>
      <c r="C9" s="30" t="s">
        <v>0</v>
      </c>
      <c r="D9" s="30" t="s">
        <v>90</v>
      </c>
      <c r="E9" s="30" t="s">
        <v>91</v>
      </c>
      <c r="F9" s="30" t="s">
        <v>92</v>
      </c>
      <c r="G9" s="30" t="s">
        <v>93</v>
      </c>
      <c r="H9" s="30" t="s">
        <v>94</v>
      </c>
      <c r="I9" s="30" t="s">
        <v>95</v>
      </c>
      <c r="J9" s="30" t="s">
        <v>96</v>
      </c>
      <c r="K9" s="30" t="s">
        <v>97</v>
      </c>
      <c r="L9" s="30" t="s">
        <v>98</v>
      </c>
      <c r="M9" s="30"/>
      <c r="P9" s="59" t="s">
        <v>18</v>
      </c>
      <c r="Q9" s="59" t="s">
        <v>106</v>
      </c>
    </row>
    <row r="10" spans="1:17" ht="15.75" x14ac:dyDescent="0.2">
      <c r="A10" s="26"/>
      <c r="B10" s="36"/>
      <c r="C10" s="30">
        <v>1</v>
      </c>
      <c r="D10" s="33" t="s">
        <v>107</v>
      </c>
      <c r="E10" s="28" t="s">
        <v>102</v>
      </c>
      <c r="F10" s="67">
        <v>44972</v>
      </c>
      <c r="G10" s="28">
        <v>60000</v>
      </c>
      <c r="H10" s="28" t="e">
        <f>AMORDEGRC(G10,F10,DATE($P$3-1,12,30),0,0,I10)</f>
        <v>#NUM!</v>
      </c>
      <c r="I10" s="63">
        <f t="shared" ref="I10:I16" si="0">IFERROR(VLOOKUP(E10,$P$10:$Q$16,2,0),"")</f>
        <v>0.1</v>
      </c>
      <c r="J10" s="65">
        <f ca="1">AMORDEGRC(G10,F10,TODAY(),0,0,I10)</f>
        <v>29167</v>
      </c>
      <c r="K10" s="64">
        <f ca="1">(TODAY()-F10)/365</f>
        <v>1.9452054794520548</v>
      </c>
      <c r="L10" s="33"/>
      <c r="M10" s="33"/>
      <c r="P10" s="59" t="s">
        <v>99</v>
      </c>
      <c r="Q10" s="60">
        <v>0</v>
      </c>
    </row>
    <row r="11" spans="1:17" ht="15.75" x14ac:dyDescent="0.2">
      <c r="A11" s="26"/>
      <c r="B11" s="36"/>
      <c r="C11" s="30">
        <v>2</v>
      </c>
      <c r="D11" s="33" t="s">
        <v>108</v>
      </c>
      <c r="E11" s="28" t="s">
        <v>101</v>
      </c>
      <c r="F11" s="67">
        <v>44973</v>
      </c>
      <c r="G11" s="28">
        <v>90000</v>
      </c>
      <c r="H11" s="28" t="e">
        <f t="shared" ref="H11:H25" si="1">AMORDEGRC(G11,F11,DATE($P$3-1,12,31),0,0,I11)</f>
        <v>#NUM!</v>
      </c>
      <c r="I11" s="63">
        <f t="shared" si="0"/>
        <v>0.1</v>
      </c>
      <c r="J11" s="65">
        <f ca="1">IFERROR(AMORDEGRC(G11,F11,TODAY(),0,0,I11),"")</f>
        <v>43688</v>
      </c>
      <c r="K11" s="64">
        <f t="shared" ref="K11:K25" ca="1" si="2">(TODAY()-F11)/365</f>
        <v>1.9424657534246574</v>
      </c>
      <c r="L11" s="33"/>
      <c r="M11" s="33"/>
      <c r="P11" s="59" t="s">
        <v>100</v>
      </c>
      <c r="Q11" s="60">
        <v>0.05</v>
      </c>
    </row>
    <row r="12" spans="1:17" ht="15.75" x14ac:dyDescent="0.2">
      <c r="A12" s="26"/>
      <c r="B12" s="36"/>
      <c r="C12" s="30">
        <v>3</v>
      </c>
      <c r="D12" s="33" t="s">
        <v>109</v>
      </c>
      <c r="E12" s="28" t="s">
        <v>99</v>
      </c>
      <c r="F12" s="67">
        <v>44974</v>
      </c>
      <c r="G12" s="28">
        <v>210000</v>
      </c>
      <c r="H12" s="28" t="e">
        <f t="shared" si="1"/>
        <v>#NUM!</v>
      </c>
      <c r="I12" s="63">
        <f t="shared" si="0"/>
        <v>0</v>
      </c>
      <c r="J12" s="65" t="str">
        <f t="shared" ref="J12:J25" ca="1" si="3">IFERROR(AMORDEGRC(G12,F12,TODAY(),0,0,I12),"")</f>
        <v/>
      </c>
      <c r="K12" s="64">
        <f t="shared" ca="1" si="2"/>
        <v>1.9397260273972603</v>
      </c>
      <c r="L12" s="33"/>
      <c r="M12" s="33"/>
      <c r="P12" s="59" t="s">
        <v>101</v>
      </c>
      <c r="Q12" s="60">
        <v>0.1</v>
      </c>
    </row>
    <row r="13" spans="1:17" ht="15.75" x14ac:dyDescent="0.2">
      <c r="A13" s="26"/>
      <c r="B13" s="36"/>
      <c r="C13" s="30">
        <v>4</v>
      </c>
      <c r="D13" s="33" t="s">
        <v>110</v>
      </c>
      <c r="E13" s="28" t="s">
        <v>105</v>
      </c>
      <c r="F13" s="67">
        <v>44975</v>
      </c>
      <c r="G13" s="28">
        <v>15000</v>
      </c>
      <c r="H13" s="28" t="e">
        <f t="shared" si="1"/>
        <v>#NUM!</v>
      </c>
      <c r="I13" s="63">
        <f t="shared" si="0"/>
        <v>0.215</v>
      </c>
      <c r="J13" s="65">
        <f t="shared" ca="1" si="3"/>
        <v>12488</v>
      </c>
      <c r="K13" s="64">
        <f t="shared" ca="1" si="2"/>
        <v>1.9369863013698629</v>
      </c>
      <c r="L13" s="33"/>
      <c r="M13" s="33"/>
      <c r="P13" s="59" t="s">
        <v>102</v>
      </c>
      <c r="Q13" s="60">
        <v>0.1</v>
      </c>
    </row>
    <row r="14" spans="1:17" ht="15.75" x14ac:dyDescent="0.2">
      <c r="A14" s="26"/>
      <c r="B14" s="36"/>
      <c r="C14" s="30">
        <v>5</v>
      </c>
      <c r="D14" s="33"/>
      <c r="E14" s="28"/>
      <c r="F14" s="62"/>
      <c r="G14" s="28"/>
      <c r="H14" s="28" t="e">
        <f t="shared" si="1"/>
        <v>#NUM!</v>
      </c>
      <c r="I14" s="63" t="str">
        <f t="shared" si="0"/>
        <v/>
      </c>
      <c r="J14" s="65" t="str">
        <f t="shared" ca="1" si="3"/>
        <v/>
      </c>
      <c r="K14" s="64"/>
      <c r="L14" s="33"/>
      <c r="M14" s="33"/>
      <c r="P14" s="59" t="s">
        <v>103</v>
      </c>
      <c r="Q14" s="60">
        <v>0.25</v>
      </c>
    </row>
    <row r="15" spans="1:17" ht="15.75" x14ac:dyDescent="0.2">
      <c r="A15" s="26"/>
      <c r="B15" s="36"/>
      <c r="C15" s="30">
        <v>6</v>
      </c>
      <c r="D15" s="33"/>
      <c r="E15" s="28"/>
      <c r="F15" s="62"/>
      <c r="G15" s="28"/>
      <c r="H15" s="28" t="e">
        <f t="shared" si="1"/>
        <v>#NUM!</v>
      </c>
      <c r="I15" s="63" t="str">
        <f t="shared" si="0"/>
        <v/>
      </c>
      <c r="J15" s="65" t="str">
        <f t="shared" ca="1" si="3"/>
        <v/>
      </c>
      <c r="K15" s="64"/>
      <c r="L15" s="33"/>
      <c r="M15" s="33"/>
      <c r="P15" s="59" t="s">
        <v>104</v>
      </c>
      <c r="Q15" s="60">
        <v>0.13</v>
      </c>
    </row>
    <row r="16" spans="1:17" ht="15.75" x14ac:dyDescent="0.2">
      <c r="A16" s="26"/>
      <c r="B16" s="36"/>
      <c r="C16" s="30">
        <v>7</v>
      </c>
      <c r="D16" s="33"/>
      <c r="E16" s="28"/>
      <c r="F16" s="62"/>
      <c r="G16" s="28"/>
      <c r="H16" s="28" t="e">
        <f t="shared" si="1"/>
        <v>#NUM!</v>
      </c>
      <c r="I16" s="63" t="str">
        <f t="shared" si="0"/>
        <v/>
      </c>
      <c r="J16" s="65" t="str">
        <f t="shared" ca="1" si="3"/>
        <v/>
      </c>
      <c r="K16" s="64"/>
      <c r="L16" s="33"/>
      <c r="M16" s="33"/>
      <c r="P16" s="59" t="s">
        <v>105</v>
      </c>
      <c r="Q16" s="61">
        <v>0.215</v>
      </c>
    </row>
    <row r="17" spans="1:13" ht="15.75" x14ac:dyDescent="0.2">
      <c r="A17" s="26"/>
      <c r="B17" s="36"/>
      <c r="C17" s="30">
        <v>8</v>
      </c>
      <c r="D17" s="33"/>
      <c r="E17" s="28"/>
      <c r="F17" s="62"/>
      <c r="G17" s="28"/>
      <c r="H17" s="28" t="e">
        <f t="shared" si="1"/>
        <v>#NUM!</v>
      </c>
      <c r="I17" s="63" t="str">
        <f>IFERROR(VLOOKUP(E17,$P$10:$Q$16,2,0),"")</f>
        <v/>
      </c>
      <c r="J17" s="65" t="str">
        <f t="shared" ca="1" si="3"/>
        <v/>
      </c>
      <c r="K17" s="64"/>
      <c r="L17" s="33"/>
      <c r="M17" s="33"/>
    </row>
    <row r="18" spans="1:13" ht="15.75" x14ac:dyDescent="0.2">
      <c r="A18" s="26"/>
      <c r="B18" s="36"/>
      <c r="C18" s="30">
        <v>9</v>
      </c>
      <c r="D18" s="33"/>
      <c r="E18" s="28"/>
      <c r="F18" s="62"/>
      <c r="G18" s="28"/>
      <c r="H18" s="28" t="e">
        <f t="shared" si="1"/>
        <v>#NUM!</v>
      </c>
      <c r="I18" s="63" t="str">
        <f t="shared" ref="I18:I25" si="4">IFERROR(VLOOKUP(E18,$P$10:$Q$16,2,0),"")</f>
        <v/>
      </c>
      <c r="J18" s="65" t="str">
        <f t="shared" ca="1" si="3"/>
        <v/>
      </c>
      <c r="K18" s="64"/>
      <c r="L18" s="33"/>
      <c r="M18" s="33"/>
    </row>
    <row r="19" spans="1:13" ht="15.75" x14ac:dyDescent="0.2">
      <c r="A19" s="26"/>
      <c r="B19" s="36"/>
      <c r="C19" s="30">
        <v>10</v>
      </c>
      <c r="D19" s="33"/>
      <c r="E19" s="28"/>
      <c r="F19" s="62"/>
      <c r="G19" s="28"/>
      <c r="H19" s="28" t="e">
        <f t="shared" si="1"/>
        <v>#NUM!</v>
      </c>
      <c r="I19" s="63" t="str">
        <f t="shared" si="4"/>
        <v/>
      </c>
      <c r="J19" s="65" t="str">
        <f t="shared" ca="1" si="3"/>
        <v/>
      </c>
      <c r="K19" s="64"/>
      <c r="L19" s="33"/>
      <c r="M19" s="33"/>
    </row>
    <row r="20" spans="1:13" ht="15.75" x14ac:dyDescent="0.2">
      <c r="A20" s="26"/>
      <c r="B20" s="36"/>
      <c r="C20" s="30">
        <v>11</v>
      </c>
      <c r="D20" s="33"/>
      <c r="E20" s="28"/>
      <c r="F20" s="62"/>
      <c r="G20" s="28"/>
      <c r="H20" s="28" t="e">
        <f t="shared" si="1"/>
        <v>#NUM!</v>
      </c>
      <c r="I20" s="63" t="str">
        <f t="shared" si="4"/>
        <v/>
      </c>
      <c r="J20" s="65" t="str">
        <f t="shared" ca="1" si="3"/>
        <v/>
      </c>
      <c r="K20" s="64"/>
      <c r="L20" s="33"/>
      <c r="M20" s="33"/>
    </row>
    <row r="21" spans="1:13" ht="15.75" x14ac:dyDescent="0.2">
      <c r="A21" s="26"/>
      <c r="B21" s="36"/>
      <c r="C21" s="30">
        <v>12</v>
      </c>
      <c r="D21" s="33"/>
      <c r="E21" s="28"/>
      <c r="F21" s="62"/>
      <c r="G21" s="28"/>
      <c r="H21" s="28" t="e">
        <f t="shared" si="1"/>
        <v>#NUM!</v>
      </c>
      <c r="I21" s="63" t="str">
        <f t="shared" si="4"/>
        <v/>
      </c>
      <c r="J21" s="65" t="str">
        <f t="shared" ca="1" si="3"/>
        <v/>
      </c>
      <c r="K21" s="64"/>
      <c r="L21" s="33"/>
      <c r="M21" s="33"/>
    </row>
    <row r="22" spans="1:13" ht="15.75" x14ac:dyDescent="0.2">
      <c r="A22" s="26"/>
      <c r="B22" s="36"/>
      <c r="C22" s="30">
        <v>13</v>
      </c>
      <c r="D22" s="33"/>
      <c r="E22" s="28"/>
      <c r="F22" s="62"/>
      <c r="G22" s="28"/>
      <c r="H22" s="28" t="e">
        <f t="shared" si="1"/>
        <v>#NUM!</v>
      </c>
      <c r="I22" s="63" t="str">
        <f t="shared" si="4"/>
        <v/>
      </c>
      <c r="J22" s="65" t="str">
        <f t="shared" ca="1" si="3"/>
        <v/>
      </c>
      <c r="K22" s="64"/>
      <c r="L22" s="33"/>
      <c r="M22" s="33"/>
    </row>
    <row r="23" spans="1:13" ht="15.75" x14ac:dyDescent="0.2">
      <c r="A23" s="26"/>
      <c r="B23" s="36"/>
      <c r="C23" s="30">
        <v>14</v>
      </c>
      <c r="D23" s="33"/>
      <c r="E23" s="28"/>
      <c r="F23" s="62"/>
      <c r="G23" s="28"/>
      <c r="H23" s="28" t="e">
        <f t="shared" si="1"/>
        <v>#NUM!</v>
      </c>
      <c r="I23" s="63" t="str">
        <f t="shared" si="4"/>
        <v/>
      </c>
      <c r="J23" s="65" t="str">
        <f t="shared" ca="1" si="3"/>
        <v/>
      </c>
      <c r="K23" s="64"/>
      <c r="L23" s="33"/>
      <c r="M23" s="33"/>
    </row>
    <row r="24" spans="1:13" ht="15.75" x14ac:dyDescent="0.2">
      <c r="A24" s="26"/>
      <c r="B24" s="36"/>
      <c r="C24" s="30">
        <v>15</v>
      </c>
      <c r="D24" s="33"/>
      <c r="E24" s="28"/>
      <c r="F24" s="62"/>
      <c r="G24" s="28"/>
      <c r="H24" s="28" t="e">
        <f t="shared" si="1"/>
        <v>#NUM!</v>
      </c>
      <c r="I24" s="63" t="str">
        <f t="shared" si="4"/>
        <v/>
      </c>
      <c r="J24" s="65" t="str">
        <f t="shared" ca="1" si="3"/>
        <v/>
      </c>
      <c r="K24" s="64"/>
      <c r="L24" s="33"/>
      <c r="M24" s="33"/>
    </row>
    <row r="25" spans="1:13" ht="15.75" x14ac:dyDescent="0.2">
      <c r="A25" s="26"/>
      <c r="B25" s="36"/>
      <c r="C25" s="30">
        <v>16</v>
      </c>
      <c r="D25" s="33"/>
      <c r="E25" s="28"/>
      <c r="F25" s="62"/>
      <c r="G25" s="28"/>
      <c r="H25" s="28" t="e">
        <f t="shared" si="1"/>
        <v>#NUM!</v>
      </c>
      <c r="I25" s="63" t="str">
        <f t="shared" si="4"/>
        <v/>
      </c>
      <c r="J25" s="65" t="str">
        <f t="shared" ca="1" si="3"/>
        <v/>
      </c>
      <c r="K25" s="64"/>
      <c r="L25" s="33"/>
      <c r="M25" s="33"/>
    </row>
    <row r="26" spans="1:13" ht="15.75" x14ac:dyDescent="0.2">
      <c r="A26" s="26"/>
      <c r="B26" s="36"/>
      <c r="C26" s="30"/>
      <c r="D26" s="30" t="s">
        <v>25</v>
      </c>
      <c r="E26" s="30"/>
      <c r="F26" s="30">
        <f>SUM(F11:F25)</f>
        <v>134922</v>
      </c>
      <c r="G26" s="30">
        <f>SUM(G11:G25)</f>
        <v>315000</v>
      </c>
      <c r="H26" s="30" t="e">
        <f>SUM(H11:H25)</f>
        <v>#NUM!</v>
      </c>
      <c r="I26" s="30"/>
      <c r="J26" s="30"/>
      <c r="K26" s="30"/>
      <c r="L26" s="30"/>
      <c r="M26" s="30"/>
    </row>
    <row r="27" spans="1:13" x14ac:dyDescent="0.2">
      <c r="A27" s="26"/>
      <c r="B27" s="36"/>
    </row>
    <row r="28" spans="1:13" x14ac:dyDescent="0.2">
      <c r="A28" s="26"/>
      <c r="B28" s="36"/>
    </row>
    <row r="29" spans="1:13" x14ac:dyDescent="0.2">
      <c r="A29" s="26"/>
      <c r="B29" s="36"/>
    </row>
    <row r="30" spans="1:13" x14ac:dyDescent="0.2">
      <c r="A30" s="26"/>
      <c r="B30" s="36"/>
    </row>
    <row r="31" spans="1:13" x14ac:dyDescent="0.2">
      <c r="A31" s="26"/>
      <c r="B31" s="36"/>
    </row>
    <row r="32" spans="1:13" x14ac:dyDescent="0.2">
      <c r="A32" s="26"/>
      <c r="B32" s="36"/>
    </row>
    <row r="33" spans="1:2" x14ac:dyDescent="0.2">
      <c r="A33" s="26"/>
      <c r="B33" s="36"/>
    </row>
    <row r="34" spans="1:2" x14ac:dyDescent="0.2">
      <c r="A34" s="26"/>
      <c r="B34" s="36"/>
    </row>
  </sheetData>
  <dataValidations count="1">
    <dataValidation type="list" allowBlank="1" showInputMessage="1" showErrorMessage="1" sqref="E10:E25">
      <formula1>$P$10:$P$16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الصفحه الرئيسيه</vt:lpstr>
      <vt:lpstr>دليل الحسابات</vt:lpstr>
      <vt:lpstr>ارصده افتتاحيه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تسويات</vt:lpstr>
      <vt:lpstr>الاستاذ العام</vt:lpstr>
      <vt:lpstr>ميزان المراجعه</vt:lpstr>
      <vt:lpstr>تحليل العملاء</vt:lpstr>
      <vt:lpstr>تحليل الموردين</vt:lpstr>
      <vt:lpstr>مصروفات الشركة</vt:lpstr>
      <vt:lpstr>ايرادات الشركة</vt:lpstr>
      <vt:lpstr>الاهلاكات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2025-01-25T21:38:54Z</dcterms:modified>
</cp:coreProperties>
</file>