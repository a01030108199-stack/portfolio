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2"/>
  </bookViews>
  <sheets>
    <sheet name="الرئيسية" sheetId="1" r:id="rId1"/>
    <sheet name="شيت المخزون" sheetId="2" r:id="rId2"/>
    <sheet name="المبيعات" sheetId="3" r:id="rId3"/>
    <sheet name="الفاتورة" sheetId="4" r:id="rId4"/>
  </sheets>
  <calcPr calcId="144525"/>
</workbook>
</file>

<file path=xl/calcChain.xml><?xml version="1.0" encoding="utf-8"?>
<calcChain xmlns="http://schemas.openxmlformats.org/spreadsheetml/2006/main">
  <c r="K9" i="3" l="1"/>
  <c r="K8" i="3"/>
  <c r="K6" i="3"/>
  <c r="K4" i="3"/>
  <c r="K5" i="3"/>
  <c r="K3" i="3"/>
  <c r="K2" i="3"/>
  <c r="I1" i="2" l="1"/>
  <c r="G3" i="2" l="1"/>
  <c r="G4" i="2"/>
  <c r="G5" i="2"/>
  <c r="G6" i="2"/>
  <c r="G7" i="2"/>
  <c r="G8" i="2"/>
  <c r="G9" i="2"/>
  <c r="G10" i="2"/>
  <c r="G11" i="2"/>
  <c r="G12" i="2"/>
  <c r="G2" i="2"/>
</calcChain>
</file>

<file path=xl/sharedStrings.xml><?xml version="1.0" encoding="utf-8"?>
<sst xmlns="http://schemas.openxmlformats.org/spreadsheetml/2006/main" count="59" uniqueCount="27">
  <si>
    <t>كود المنتج</t>
  </si>
  <si>
    <t>اسم المنتج</t>
  </si>
  <si>
    <t>الوحدة</t>
  </si>
  <si>
    <t>السعر</t>
  </si>
  <si>
    <t>الكمية الاصلية</t>
  </si>
  <si>
    <t>الكمية المباعة</t>
  </si>
  <si>
    <t>الكمية المتوفرة</t>
  </si>
  <si>
    <t>لاب</t>
  </si>
  <si>
    <t>لاب HP</t>
  </si>
  <si>
    <t>لاب سامسونج</t>
  </si>
  <si>
    <t>كمبيوتر</t>
  </si>
  <si>
    <t>كمبيوتر 2</t>
  </si>
  <si>
    <t>كمبيوتر 3</t>
  </si>
  <si>
    <t>كمبيوتر 4</t>
  </si>
  <si>
    <t>كمبيوتر 5</t>
  </si>
  <si>
    <t>كمبيوتر 6</t>
  </si>
  <si>
    <t>كمبيوتر 7</t>
  </si>
  <si>
    <t>كمبيوتر 8</t>
  </si>
  <si>
    <t>جهاز</t>
  </si>
  <si>
    <t>تاريخ الفاتورة</t>
  </si>
  <si>
    <t>اسم العميل</t>
  </si>
  <si>
    <t>الخصم</t>
  </si>
  <si>
    <t>الاجمالى</t>
  </si>
  <si>
    <t>الكمية</t>
  </si>
  <si>
    <t>اكرم محمد محمود</t>
  </si>
  <si>
    <t>سعيد حسين</t>
  </si>
  <si>
    <t>حماده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</si>
</sst>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/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3" fillId="7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121522</xdr:colOff>
      <xdr:row>5</xdr:row>
      <xdr:rowOff>62220</xdr:rowOff>
    </xdr:from>
    <xdr:to>
      <xdr:col>3</xdr:col>
      <xdr:colOff>26272</xdr:colOff>
      <xdr:row>7</xdr:row>
      <xdr:rowOff>33893</xdr:rowOff>
    </xdr:to>
    <xdr:sp macro="" textlink="">
      <xdr:nvSpPr>
        <xdr:cNvPr id="2" name="Rectangle 1"/>
        <xdr:cNvSpPr/>
      </xdr:nvSpPr>
      <xdr:spPr>
        <a:xfrm rot="1602788">
          <a:off x="11234063528" y="967095"/>
          <a:ext cx="1276350" cy="333623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>
              <a:solidFill>
                <a:schemeClr val="bg1"/>
              </a:solidFill>
            </a:rPr>
            <a:t>فاتورة</a:t>
          </a:r>
          <a:r>
            <a:rPr lang="ar-EG" sz="1400" b="1" baseline="0">
              <a:solidFill>
                <a:schemeClr val="bg1"/>
              </a:solidFill>
            </a:rPr>
            <a:t> مبيعات</a:t>
          </a:r>
          <a:endParaRPr lang="ar-EG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607296</xdr:colOff>
      <xdr:row>6</xdr:row>
      <xdr:rowOff>147943</xdr:rowOff>
    </xdr:from>
    <xdr:to>
      <xdr:col>9</xdr:col>
      <xdr:colOff>512046</xdr:colOff>
      <xdr:row>8</xdr:row>
      <xdr:rowOff>119616</xdr:rowOff>
    </xdr:to>
    <xdr:sp macro="" textlink="">
      <xdr:nvSpPr>
        <xdr:cNvPr id="3" name="Rectangle 2"/>
        <xdr:cNvSpPr/>
      </xdr:nvSpPr>
      <xdr:spPr>
        <a:xfrm rot="19857207">
          <a:off x="11229462954" y="1233793"/>
          <a:ext cx="1276350" cy="333623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>
              <a:solidFill>
                <a:schemeClr val="bg1"/>
              </a:solidFill>
            </a:rPr>
            <a:t>إضافة منتج</a:t>
          </a:r>
        </a:p>
      </xdr:txBody>
    </xdr:sp>
    <xdr:clientData/>
  </xdr:twoCellAnchor>
  <xdr:twoCellAnchor>
    <xdr:from>
      <xdr:col>1</xdr:col>
      <xdr:colOff>304801</xdr:colOff>
      <xdr:row>17</xdr:row>
      <xdr:rowOff>152401</xdr:rowOff>
    </xdr:from>
    <xdr:to>
      <xdr:col>3</xdr:col>
      <xdr:colOff>209551</xdr:colOff>
      <xdr:row>19</xdr:row>
      <xdr:rowOff>124074</xdr:rowOff>
    </xdr:to>
    <xdr:sp macro="" textlink="">
      <xdr:nvSpPr>
        <xdr:cNvPr id="4" name="Rectangle 3"/>
        <xdr:cNvSpPr/>
      </xdr:nvSpPr>
      <xdr:spPr>
        <a:xfrm rot="1602788">
          <a:off x="11233880249" y="3228976"/>
          <a:ext cx="1276350" cy="333623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>
              <a:solidFill>
                <a:schemeClr val="bg1"/>
              </a:solidFill>
            </a:rPr>
            <a:t>عن المصمم</a:t>
          </a:r>
        </a:p>
      </xdr:txBody>
    </xdr:sp>
    <xdr:clientData/>
  </xdr:twoCellAnchor>
  <xdr:twoCellAnchor>
    <xdr:from>
      <xdr:col>7</xdr:col>
      <xdr:colOff>485775</xdr:colOff>
      <xdr:row>15</xdr:row>
      <xdr:rowOff>171452</xdr:rowOff>
    </xdr:from>
    <xdr:to>
      <xdr:col>9</xdr:col>
      <xdr:colOff>390525</xdr:colOff>
      <xdr:row>17</xdr:row>
      <xdr:rowOff>143125</xdr:rowOff>
    </xdr:to>
    <xdr:sp macro="" textlink="">
      <xdr:nvSpPr>
        <xdr:cNvPr id="5" name="Rectangle 4"/>
        <xdr:cNvSpPr/>
      </xdr:nvSpPr>
      <xdr:spPr>
        <a:xfrm rot="19696876">
          <a:off x="11229584475" y="2886077"/>
          <a:ext cx="1276350" cy="333623"/>
        </a:xfrm>
        <a:prstGeom prst="rect">
          <a:avLst/>
        </a:prstGeom>
        <a:solidFill>
          <a:srgbClr val="FF0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>
              <a:solidFill>
                <a:schemeClr val="bg1"/>
              </a:solidFill>
            </a:rPr>
            <a:t>خروج</a:t>
          </a:r>
        </a:p>
      </xdr:txBody>
    </xdr:sp>
    <xdr:clientData/>
  </xdr:twoCellAnchor>
  <xdr:twoCellAnchor editAs="oneCell">
    <xdr:from>
      <xdr:col>3</xdr:col>
      <xdr:colOff>190500</xdr:colOff>
      <xdr:row>2</xdr:row>
      <xdr:rowOff>114300</xdr:rowOff>
    </xdr:from>
    <xdr:to>
      <xdr:col>7</xdr:col>
      <xdr:colOff>419100</xdr:colOff>
      <xdr:row>17</xdr:row>
      <xdr:rowOff>123189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0927500" y="476250"/>
          <a:ext cx="2971800" cy="2723514"/>
        </a:xfrm>
        <a:prstGeom prst="roundRect">
          <a:avLst>
            <a:gd name="adj" fmla="val 11111"/>
          </a:avLst>
        </a:prstGeom>
        <a:ln w="190500" cap="rnd">
          <a:solidFill>
            <a:srgbClr val="002060"/>
          </a:solidFill>
          <a:prstDash val="solid"/>
        </a:ln>
        <a:effectLst>
          <a:outerShdw blurRad="101600" dist="50800" dir="7200000" algn="tl" rotWithShape="0">
            <a:srgbClr val="000000">
              <a:alpha val="45000"/>
            </a:srgbClr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artDeco"/>
          <a:extrusionClr>
            <a:srgbClr val="FFFFFF"/>
          </a:extrusion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B3:J24"/>
  <sheetViews>
    <sheetView rightToLeft="1" workbookViewId="0">
      <selection activeCell="M9" sqref="M9"/>
    </sheetView>
  </sheetViews>
  <sheetFormatPr defaultRowHeight="14.25" x14ac:dyDescent="0.2"/>
  <cols>
    <col min="1" max="16384" width="9" style="1"/>
  </cols>
  <sheetData>
    <row r="3" spans="2:10" x14ac:dyDescent="0.2">
      <c r="B3" s="2"/>
      <c r="C3" s="2"/>
      <c r="D3" s="2"/>
      <c r="E3" s="2"/>
      <c r="F3" s="2"/>
      <c r="G3" s="2"/>
      <c r="H3" s="2"/>
      <c r="I3" s="2"/>
      <c r="J3" s="2"/>
    </row>
    <row r="4" spans="2:10" x14ac:dyDescent="0.2">
      <c r="B4" s="2"/>
      <c r="C4" s="2"/>
      <c r="D4" s="2"/>
      <c r="E4" s="2"/>
      <c r="F4" s="2"/>
      <c r="G4" s="2"/>
      <c r="H4" s="2"/>
      <c r="I4" s="2"/>
      <c r="J4" s="2"/>
    </row>
    <row r="5" spans="2:10" x14ac:dyDescent="0.2">
      <c r="B5" s="2"/>
      <c r="C5" s="2"/>
      <c r="D5" s="2"/>
      <c r="E5" s="2"/>
      <c r="F5" s="2"/>
      <c r="G5" s="2"/>
      <c r="H5" s="2"/>
      <c r="I5" s="2"/>
      <c r="J5" s="2"/>
    </row>
    <row r="6" spans="2:10" x14ac:dyDescent="0.2">
      <c r="B6" s="2"/>
      <c r="C6" s="2"/>
      <c r="D6" s="2"/>
      <c r="E6" s="2"/>
      <c r="F6" s="2"/>
      <c r="G6" s="2"/>
      <c r="H6" s="2"/>
      <c r="I6" s="2"/>
      <c r="J6" s="2"/>
    </row>
    <row r="7" spans="2:10" x14ac:dyDescent="0.2">
      <c r="B7" s="2"/>
      <c r="C7" s="2"/>
      <c r="D7" s="2"/>
      <c r="E7" s="2"/>
      <c r="F7" s="2"/>
      <c r="G7" s="2"/>
      <c r="H7" s="2"/>
      <c r="I7" s="2"/>
      <c r="J7" s="2"/>
    </row>
    <row r="8" spans="2:10" x14ac:dyDescent="0.2">
      <c r="B8" s="2"/>
      <c r="C8" s="2"/>
      <c r="D8" s="2"/>
      <c r="E8" s="2"/>
      <c r="F8" s="2"/>
      <c r="G8" s="2"/>
      <c r="H8" s="2"/>
      <c r="I8" s="2"/>
      <c r="J8" s="2"/>
    </row>
    <row r="9" spans="2:10" x14ac:dyDescent="0.2">
      <c r="B9" s="2"/>
      <c r="C9" s="2"/>
      <c r="D9" s="2"/>
      <c r="E9" s="2"/>
      <c r="F9" s="2"/>
      <c r="G9" s="2"/>
      <c r="H9" s="2"/>
      <c r="I9" s="2"/>
      <c r="J9" s="2"/>
    </row>
    <row r="10" spans="2:10" x14ac:dyDescent="0.2">
      <c r="B10" s="2"/>
      <c r="C10" s="2"/>
      <c r="D10" s="2"/>
      <c r="E10" s="2"/>
      <c r="F10" s="2"/>
      <c r="G10" s="2"/>
      <c r="H10" s="2"/>
      <c r="I10" s="2"/>
      <c r="J10" s="2"/>
    </row>
    <row r="11" spans="2:10" x14ac:dyDescent="0.2">
      <c r="B11" s="2"/>
      <c r="C11" s="2"/>
      <c r="D11" s="2"/>
      <c r="E11" s="2"/>
      <c r="F11" s="2"/>
      <c r="G11" s="2"/>
      <c r="H11" s="2"/>
      <c r="I11" s="2"/>
      <c r="J11" s="2"/>
    </row>
    <row r="12" spans="2:10" x14ac:dyDescent="0.2">
      <c r="B12" s="2"/>
      <c r="C12" s="2"/>
      <c r="D12" s="2"/>
      <c r="E12" s="2"/>
      <c r="F12" s="2"/>
      <c r="G12" s="2"/>
      <c r="H12" s="2"/>
      <c r="I12" s="2"/>
      <c r="J12" s="2"/>
    </row>
    <row r="13" spans="2:10" x14ac:dyDescent="0.2">
      <c r="B13" s="2"/>
      <c r="C13" s="2"/>
      <c r="D13" s="2"/>
      <c r="E13" s="2"/>
      <c r="F13" s="2"/>
      <c r="G13" s="2"/>
      <c r="H13" s="2"/>
      <c r="I13" s="2"/>
      <c r="J13" s="2"/>
    </row>
    <row r="14" spans="2:10" x14ac:dyDescent="0.2">
      <c r="B14" s="2"/>
      <c r="C14" s="2"/>
      <c r="D14" s="2"/>
      <c r="E14" s="2"/>
      <c r="F14" s="2"/>
      <c r="G14" s="2"/>
      <c r="H14" s="2"/>
      <c r="I14" s="2"/>
      <c r="J14" s="2"/>
    </row>
    <row r="15" spans="2:10" x14ac:dyDescent="0.2">
      <c r="B15" s="2"/>
      <c r="C15" s="2"/>
      <c r="D15" s="2"/>
      <c r="E15" s="2"/>
      <c r="F15" s="2"/>
      <c r="G15" s="2"/>
      <c r="H15" s="2"/>
      <c r="I15" s="2"/>
      <c r="J15" s="2"/>
    </row>
    <row r="16" spans="2:10" x14ac:dyDescent="0.2">
      <c r="B16" s="2"/>
      <c r="C16" s="2"/>
      <c r="D16" s="2"/>
      <c r="E16" s="2"/>
      <c r="F16" s="2"/>
      <c r="G16" s="2"/>
      <c r="H16" s="2"/>
      <c r="I16" s="2"/>
      <c r="J16" s="2"/>
    </row>
    <row r="17" spans="2:10" x14ac:dyDescent="0.2">
      <c r="B17" s="2"/>
      <c r="C17" s="2"/>
      <c r="D17" s="2"/>
      <c r="E17" s="2"/>
      <c r="F17" s="2"/>
      <c r="G17" s="2"/>
      <c r="H17" s="2"/>
      <c r="I17" s="2"/>
      <c r="J17" s="2"/>
    </row>
    <row r="18" spans="2:10" x14ac:dyDescent="0.2">
      <c r="B18" s="2"/>
      <c r="C18" s="2"/>
      <c r="D18" s="2"/>
      <c r="E18" s="2"/>
      <c r="F18" s="2"/>
      <c r="G18" s="2"/>
      <c r="H18" s="2"/>
      <c r="I18" s="2"/>
      <c r="J18" s="2"/>
    </row>
    <row r="19" spans="2:10" x14ac:dyDescent="0.2">
      <c r="B19" s="2"/>
      <c r="C19" s="2"/>
      <c r="D19" s="2"/>
      <c r="E19" s="2"/>
      <c r="F19" s="2"/>
      <c r="G19" s="2"/>
      <c r="H19" s="2"/>
      <c r="I19" s="2"/>
      <c r="J19" s="2"/>
    </row>
    <row r="20" spans="2:10" x14ac:dyDescent="0.2">
      <c r="B20" s="2"/>
      <c r="C20" s="2"/>
      <c r="D20" s="2"/>
      <c r="E20" s="2"/>
      <c r="F20" s="2"/>
      <c r="G20" s="2"/>
      <c r="H20" s="2"/>
      <c r="I20" s="2"/>
      <c r="J20" s="2"/>
    </row>
    <row r="21" spans="2:10" x14ac:dyDescent="0.2">
      <c r="B21" s="2"/>
      <c r="C21" s="2"/>
      <c r="D21" s="2"/>
      <c r="E21" s="2"/>
      <c r="F21" s="2"/>
      <c r="G21" s="2"/>
      <c r="H21" s="2"/>
      <c r="I21" s="2"/>
      <c r="J21" s="2"/>
    </row>
    <row r="22" spans="2:10" x14ac:dyDescent="0.2">
      <c r="B22" s="2"/>
      <c r="C22" s="2"/>
      <c r="D22" s="2"/>
      <c r="E22" s="2"/>
      <c r="F22" s="2"/>
      <c r="G22" s="2"/>
      <c r="H22" s="2"/>
      <c r="I22" s="2"/>
      <c r="J22" s="2"/>
    </row>
    <row r="23" spans="2:10" x14ac:dyDescent="0.2">
      <c r="B23" s="2"/>
      <c r="C23" s="2"/>
      <c r="D23" s="2"/>
      <c r="E23" s="2"/>
      <c r="F23" s="2"/>
      <c r="G23" s="2"/>
      <c r="H23" s="2"/>
      <c r="I23" s="2"/>
      <c r="J23" s="2"/>
    </row>
    <row r="24" spans="2:10" x14ac:dyDescent="0.2">
      <c r="B24" s="2"/>
      <c r="C24" s="2"/>
      <c r="D24" s="2"/>
      <c r="E24" s="2"/>
      <c r="F24" s="2"/>
      <c r="G24" s="2"/>
      <c r="H24" s="2"/>
      <c r="I24" s="2"/>
      <c r="J24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I25"/>
  <sheetViews>
    <sheetView rightToLeft="1" workbookViewId="0">
      <selection activeCell="D14" sqref="D14"/>
    </sheetView>
  </sheetViews>
  <sheetFormatPr defaultRowHeight="14.25" x14ac:dyDescent="0.2"/>
  <cols>
    <col min="1" max="1" width="10.75" style="12" customWidth="1"/>
    <col min="2" max="2" width="19.5" style="12" customWidth="1"/>
    <col min="3" max="4" width="9" style="12"/>
    <col min="5" max="5" width="11.875" style="12" bestFit="1" customWidth="1"/>
    <col min="6" max="6" width="11.625" style="12" bestFit="1" customWidth="1"/>
    <col min="7" max="7" width="12.625" style="12" bestFit="1" customWidth="1"/>
    <col min="8" max="16384" width="9" style="3"/>
  </cols>
  <sheetData>
    <row r="1" spans="1:9" ht="21" customHeight="1" thickTop="1" x14ac:dyDescent="0.2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6" t="s">
        <v>6</v>
      </c>
      <c r="H1" s="8" t="s">
        <v>8</v>
      </c>
      <c r="I1" s="3">
        <f>MATCH(H1,B:B,0)</f>
        <v>3</v>
      </c>
    </row>
    <row r="2" spans="1:9" ht="18" x14ac:dyDescent="0.2">
      <c r="A2" s="7">
        <v>101</v>
      </c>
      <c r="B2" s="8" t="s">
        <v>7</v>
      </c>
      <c r="C2" s="8" t="s">
        <v>18</v>
      </c>
      <c r="D2" s="8">
        <v>2000</v>
      </c>
      <c r="E2" s="8">
        <v>516</v>
      </c>
      <c r="F2" s="8"/>
      <c r="G2" s="9">
        <f>E2-F2</f>
        <v>516</v>
      </c>
    </row>
    <row r="3" spans="1:9" ht="18" x14ac:dyDescent="0.2">
      <c r="A3" s="7">
        <v>102</v>
      </c>
      <c r="B3" s="8" t="s">
        <v>8</v>
      </c>
      <c r="C3" s="8" t="s">
        <v>18</v>
      </c>
      <c r="D3" s="8">
        <v>250</v>
      </c>
      <c r="E3" s="8">
        <v>620</v>
      </c>
      <c r="F3" s="8">
        <v>7</v>
      </c>
      <c r="G3" s="9">
        <f t="shared" ref="G3:G12" si="0">E3-F3</f>
        <v>613</v>
      </c>
    </row>
    <row r="4" spans="1:9" ht="18" x14ac:dyDescent="0.2">
      <c r="A4" s="7">
        <v>103</v>
      </c>
      <c r="B4" s="8" t="s">
        <v>9</v>
      </c>
      <c r="C4" s="8" t="s">
        <v>18</v>
      </c>
      <c r="D4" s="8">
        <v>2530</v>
      </c>
      <c r="E4" s="8">
        <v>840</v>
      </c>
      <c r="F4" s="8">
        <v>4</v>
      </c>
      <c r="G4" s="9">
        <f t="shared" si="0"/>
        <v>836</v>
      </c>
    </row>
    <row r="5" spans="1:9" ht="18" x14ac:dyDescent="0.2">
      <c r="A5" s="7">
        <v>104</v>
      </c>
      <c r="B5" s="8" t="s">
        <v>10</v>
      </c>
      <c r="C5" s="8" t="s">
        <v>18</v>
      </c>
      <c r="D5" s="8">
        <v>2400</v>
      </c>
      <c r="E5" s="8">
        <v>670</v>
      </c>
      <c r="F5" s="8"/>
      <c r="G5" s="9">
        <f t="shared" si="0"/>
        <v>670</v>
      </c>
    </row>
    <row r="6" spans="1:9" ht="18" x14ac:dyDescent="0.2">
      <c r="A6" s="7">
        <v>105</v>
      </c>
      <c r="B6" s="8" t="s">
        <v>11</v>
      </c>
      <c r="C6" s="8" t="s">
        <v>18</v>
      </c>
      <c r="D6" s="8">
        <v>2089</v>
      </c>
      <c r="E6" s="8">
        <v>700</v>
      </c>
      <c r="F6" s="8"/>
      <c r="G6" s="9">
        <f t="shared" si="0"/>
        <v>700</v>
      </c>
    </row>
    <row r="7" spans="1:9" ht="18" x14ac:dyDescent="0.2">
      <c r="A7" s="7">
        <v>106</v>
      </c>
      <c r="B7" s="8" t="s">
        <v>12</v>
      </c>
      <c r="C7" s="8" t="s">
        <v>18</v>
      </c>
      <c r="D7" s="8">
        <v>2100</v>
      </c>
      <c r="E7" s="8">
        <v>565</v>
      </c>
      <c r="F7" s="8">
        <v>4</v>
      </c>
      <c r="G7" s="9">
        <f t="shared" si="0"/>
        <v>561</v>
      </c>
    </row>
    <row r="8" spans="1:9" ht="18" x14ac:dyDescent="0.2">
      <c r="A8" s="7">
        <v>107</v>
      </c>
      <c r="B8" s="8" t="s">
        <v>13</v>
      </c>
      <c r="C8" s="8" t="s">
        <v>18</v>
      </c>
      <c r="D8" s="8">
        <v>2300</v>
      </c>
      <c r="E8" s="8">
        <v>890</v>
      </c>
      <c r="F8" s="8">
        <v>5</v>
      </c>
      <c r="G8" s="9">
        <f t="shared" si="0"/>
        <v>885</v>
      </c>
    </row>
    <row r="9" spans="1:9" ht="18" x14ac:dyDescent="0.2">
      <c r="A9" s="7">
        <v>108</v>
      </c>
      <c r="B9" s="8" t="s">
        <v>14</v>
      </c>
      <c r="C9" s="8" t="s">
        <v>18</v>
      </c>
      <c r="D9" s="8">
        <v>2500</v>
      </c>
      <c r="E9" s="8">
        <v>515</v>
      </c>
      <c r="F9" s="8"/>
      <c r="G9" s="9">
        <f t="shared" si="0"/>
        <v>515</v>
      </c>
    </row>
    <row r="10" spans="1:9" ht="18" x14ac:dyDescent="0.2">
      <c r="A10" s="7">
        <v>109</v>
      </c>
      <c r="B10" s="8" t="s">
        <v>15</v>
      </c>
      <c r="C10" s="8" t="s">
        <v>18</v>
      </c>
      <c r="D10" s="8">
        <v>2900</v>
      </c>
      <c r="E10" s="8">
        <v>900</v>
      </c>
      <c r="F10" s="8"/>
      <c r="G10" s="9">
        <f t="shared" si="0"/>
        <v>900</v>
      </c>
    </row>
    <row r="11" spans="1:9" ht="18" x14ac:dyDescent="0.2">
      <c r="A11" s="7">
        <v>110</v>
      </c>
      <c r="B11" s="8" t="s">
        <v>16</v>
      </c>
      <c r="C11" s="8" t="s">
        <v>18</v>
      </c>
      <c r="D11" s="8">
        <v>2800</v>
      </c>
      <c r="E11" s="8">
        <v>800</v>
      </c>
      <c r="F11" s="8">
        <v>2</v>
      </c>
      <c r="G11" s="9">
        <f t="shared" si="0"/>
        <v>798</v>
      </c>
    </row>
    <row r="12" spans="1:9" ht="18" x14ac:dyDescent="0.2">
      <c r="A12" s="7">
        <v>111</v>
      </c>
      <c r="B12" s="8" t="s">
        <v>17</v>
      </c>
      <c r="C12" s="8" t="s">
        <v>18</v>
      </c>
      <c r="D12" s="8">
        <v>2500</v>
      </c>
      <c r="E12" s="8">
        <v>780</v>
      </c>
      <c r="F12" s="8">
        <v>3</v>
      </c>
      <c r="G12" s="9">
        <f t="shared" si="0"/>
        <v>777</v>
      </c>
    </row>
    <row r="13" spans="1:9" ht="18" x14ac:dyDescent="0.2">
      <c r="A13" s="7">
        <v>112</v>
      </c>
      <c r="B13" s="8"/>
      <c r="C13" s="8"/>
      <c r="D13" s="8"/>
      <c r="E13" s="8"/>
      <c r="F13" s="8"/>
      <c r="G13" s="9"/>
    </row>
    <row r="14" spans="1:9" ht="18" x14ac:dyDescent="0.2">
      <c r="A14" s="7">
        <v>113</v>
      </c>
      <c r="B14" s="8"/>
      <c r="C14" s="8"/>
      <c r="D14" s="8"/>
      <c r="E14" s="8"/>
      <c r="F14" s="8"/>
      <c r="G14" s="9"/>
    </row>
    <row r="15" spans="1:9" ht="18" x14ac:dyDescent="0.2">
      <c r="A15" s="7">
        <v>114</v>
      </c>
      <c r="B15" s="8"/>
      <c r="C15" s="8"/>
      <c r="D15" s="8"/>
      <c r="E15" s="8"/>
      <c r="F15" s="8"/>
      <c r="G15" s="9"/>
    </row>
    <row r="16" spans="1:9" ht="18" x14ac:dyDescent="0.2">
      <c r="A16" s="7">
        <v>115</v>
      </c>
      <c r="B16" s="8"/>
      <c r="C16" s="8"/>
      <c r="D16" s="8"/>
      <c r="E16" s="8"/>
      <c r="F16" s="8"/>
      <c r="G16" s="9"/>
    </row>
    <row r="17" spans="1:7" ht="18" x14ac:dyDescent="0.2">
      <c r="A17" s="7">
        <v>116</v>
      </c>
      <c r="B17" s="8"/>
      <c r="C17" s="8"/>
      <c r="D17" s="8"/>
      <c r="E17" s="8"/>
      <c r="F17" s="8"/>
      <c r="G17" s="9"/>
    </row>
    <row r="18" spans="1:7" ht="18" x14ac:dyDescent="0.2">
      <c r="A18" s="7">
        <v>117</v>
      </c>
      <c r="B18" s="8"/>
      <c r="C18" s="8"/>
      <c r="D18" s="8"/>
      <c r="E18" s="8"/>
      <c r="F18" s="8"/>
      <c r="G18" s="9"/>
    </row>
    <row r="19" spans="1:7" ht="18" x14ac:dyDescent="0.2">
      <c r="A19" s="7">
        <v>118</v>
      </c>
      <c r="B19" s="8"/>
      <c r="C19" s="8"/>
      <c r="D19" s="8"/>
      <c r="E19" s="8"/>
      <c r="F19" s="8"/>
      <c r="G19" s="9"/>
    </row>
    <row r="20" spans="1:7" ht="18" x14ac:dyDescent="0.2">
      <c r="A20" s="7">
        <v>119</v>
      </c>
      <c r="B20" s="8"/>
      <c r="C20" s="8"/>
      <c r="D20" s="8"/>
      <c r="E20" s="8"/>
      <c r="F20" s="8"/>
      <c r="G20" s="9"/>
    </row>
    <row r="21" spans="1:7" ht="18" x14ac:dyDescent="0.2">
      <c r="A21" s="7">
        <v>120</v>
      </c>
      <c r="B21" s="8"/>
      <c r="C21" s="8"/>
      <c r="D21" s="8"/>
      <c r="E21" s="8"/>
      <c r="F21" s="8"/>
      <c r="G21" s="9"/>
    </row>
    <row r="22" spans="1:7" ht="18" x14ac:dyDescent="0.2">
      <c r="A22" s="7">
        <v>121</v>
      </c>
      <c r="B22" s="8"/>
      <c r="C22" s="8"/>
      <c r="D22" s="8"/>
      <c r="E22" s="8"/>
      <c r="F22" s="8"/>
      <c r="G22" s="9"/>
    </row>
    <row r="23" spans="1:7" ht="18" x14ac:dyDescent="0.2">
      <c r="A23" s="7">
        <v>122</v>
      </c>
      <c r="B23" s="8"/>
      <c r="C23" s="8"/>
      <c r="D23" s="8"/>
      <c r="E23" s="8"/>
      <c r="F23" s="8"/>
      <c r="G23" s="9"/>
    </row>
    <row r="24" spans="1:7" ht="18.75" thickBot="1" x14ac:dyDescent="0.25">
      <c r="A24" s="7">
        <v>123</v>
      </c>
      <c r="B24" s="10"/>
      <c r="C24" s="8"/>
      <c r="D24" s="10"/>
      <c r="E24" s="10"/>
      <c r="F24" s="10"/>
      <c r="G24" s="11"/>
    </row>
    <row r="25" spans="1:7" ht="15" thickTop="1" x14ac:dyDescent="0.2"/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K25"/>
  <sheetViews>
    <sheetView rightToLeft="1" tabSelected="1" workbookViewId="0">
      <selection activeCell="K10" sqref="K10"/>
    </sheetView>
  </sheetViews>
  <sheetFormatPr defaultRowHeight="14.25" x14ac:dyDescent="0.2"/>
  <cols>
    <col min="1" max="1" width="10.375" style="13" customWidth="1"/>
    <col min="2" max="2" width="11.625" style="13" customWidth="1"/>
    <col min="3" max="3" width="15" style="13" customWidth="1"/>
    <col min="4" max="5" width="9" style="13"/>
    <col min="6" max="6" width="15.125" style="13" customWidth="1"/>
    <col min="7" max="16384" width="9" style="13"/>
  </cols>
  <sheetData>
    <row r="1" spans="1:11" ht="16.5" thickTop="1" x14ac:dyDescent="0.2">
      <c r="A1" s="20">
        <v>0</v>
      </c>
      <c r="B1" s="21" t="s">
        <v>19</v>
      </c>
      <c r="C1" s="21" t="s">
        <v>20</v>
      </c>
      <c r="D1" s="21" t="s">
        <v>21</v>
      </c>
      <c r="E1" s="21" t="s">
        <v>22</v>
      </c>
      <c r="F1" s="21" t="s">
        <v>1</v>
      </c>
      <c r="G1" s="21" t="s">
        <v>2</v>
      </c>
      <c r="H1" s="21" t="s">
        <v>3</v>
      </c>
      <c r="I1" s="22" t="s">
        <v>23</v>
      </c>
    </row>
    <row r="2" spans="1:11" ht="15.75" x14ac:dyDescent="0.2">
      <c r="A2" s="14">
        <v>1</v>
      </c>
      <c r="B2" s="23">
        <v>40909</v>
      </c>
      <c r="C2" s="15" t="s">
        <v>24</v>
      </c>
      <c r="D2" s="15">
        <v>4</v>
      </c>
      <c r="E2" s="15">
        <v>23251.200000000001</v>
      </c>
      <c r="F2" s="15" t="s">
        <v>8</v>
      </c>
      <c r="G2" s="15" t="s">
        <v>18</v>
      </c>
      <c r="H2" s="15">
        <v>250</v>
      </c>
      <c r="I2" s="16">
        <v>4</v>
      </c>
      <c r="K2" s="13">
        <f>I2*H2</f>
        <v>1000</v>
      </c>
    </row>
    <row r="3" spans="1:11" ht="15.75" x14ac:dyDescent="0.2">
      <c r="A3" s="14">
        <v>1</v>
      </c>
      <c r="B3" s="23">
        <v>40909</v>
      </c>
      <c r="C3" s="15" t="s">
        <v>24</v>
      </c>
      <c r="D3" s="15">
        <v>4</v>
      </c>
      <c r="E3" s="15">
        <v>23251.200000000001</v>
      </c>
      <c r="F3" s="15" t="s">
        <v>17</v>
      </c>
      <c r="G3" s="15" t="s">
        <v>18</v>
      </c>
      <c r="H3" s="15">
        <v>2500</v>
      </c>
      <c r="I3" s="16">
        <v>3</v>
      </c>
      <c r="K3" s="13">
        <f>I3*H3</f>
        <v>7500</v>
      </c>
    </row>
    <row r="4" spans="1:11" ht="15.75" x14ac:dyDescent="0.2">
      <c r="A4" s="14">
        <v>1</v>
      </c>
      <c r="B4" s="23">
        <v>40909</v>
      </c>
      <c r="C4" s="15" t="s">
        <v>24</v>
      </c>
      <c r="D4" s="15">
        <v>4</v>
      </c>
      <c r="E4" s="15">
        <v>23251.200000000001</v>
      </c>
      <c r="F4" s="15" t="s">
        <v>9</v>
      </c>
      <c r="G4" s="15" t="s">
        <v>18</v>
      </c>
      <c r="H4" s="15">
        <v>2530</v>
      </c>
      <c r="I4" s="16">
        <v>4</v>
      </c>
      <c r="K4" s="13">
        <f>I4*H4</f>
        <v>10120</v>
      </c>
    </row>
    <row r="5" spans="1:11" ht="15.75" x14ac:dyDescent="0.2">
      <c r="A5" s="14">
        <v>1</v>
      </c>
      <c r="B5" s="23">
        <v>40909</v>
      </c>
      <c r="C5" s="15" t="s">
        <v>24</v>
      </c>
      <c r="D5" s="15">
        <v>4</v>
      </c>
      <c r="E5" s="15">
        <v>23251.200000000001</v>
      </c>
      <c r="F5" s="15" t="s">
        <v>16</v>
      </c>
      <c r="G5" s="15" t="s">
        <v>18</v>
      </c>
      <c r="H5" s="15">
        <v>2800</v>
      </c>
      <c r="I5" s="16">
        <v>2</v>
      </c>
      <c r="K5" s="13">
        <f>I5*H5</f>
        <v>5600</v>
      </c>
    </row>
    <row r="6" spans="1:11" ht="15.75" x14ac:dyDescent="0.2">
      <c r="A6" s="14">
        <v>2</v>
      </c>
      <c r="B6" s="23">
        <v>40909</v>
      </c>
      <c r="C6" s="15" t="s">
        <v>25</v>
      </c>
      <c r="D6" s="15">
        <v>2</v>
      </c>
      <c r="E6" s="15">
        <v>11270</v>
      </c>
      <c r="F6" s="15" t="s">
        <v>13</v>
      </c>
      <c r="G6" s="15" t="s">
        <v>18</v>
      </c>
      <c r="H6" s="15">
        <v>2300</v>
      </c>
      <c r="I6" s="16">
        <v>5</v>
      </c>
      <c r="K6" s="13">
        <f>SUM(K2:K5)</f>
        <v>24220</v>
      </c>
    </row>
    <row r="7" spans="1:11" ht="15.75" x14ac:dyDescent="0.2">
      <c r="A7" s="14">
        <v>3</v>
      </c>
      <c r="B7" s="23">
        <v>40909</v>
      </c>
      <c r="C7" s="15" t="s">
        <v>26</v>
      </c>
      <c r="D7" s="15">
        <v>6</v>
      </c>
      <c r="E7" s="15">
        <v>8601</v>
      </c>
      <c r="F7" s="15" t="s">
        <v>12</v>
      </c>
      <c r="G7" s="15" t="s">
        <v>18</v>
      </c>
      <c r="H7" s="15">
        <v>2100</v>
      </c>
      <c r="I7" s="16">
        <v>4</v>
      </c>
      <c r="K7" s="13">
        <v>4</v>
      </c>
    </row>
    <row r="8" spans="1:11" ht="15.75" x14ac:dyDescent="0.2">
      <c r="A8" s="14">
        <v>3</v>
      </c>
      <c r="B8" s="23">
        <v>40909</v>
      </c>
      <c r="C8" s="15" t="s">
        <v>26</v>
      </c>
      <c r="D8" s="15">
        <v>6</v>
      </c>
      <c r="E8" s="15">
        <v>8601</v>
      </c>
      <c r="F8" s="15" t="s">
        <v>8</v>
      </c>
      <c r="G8" s="15" t="s">
        <v>18</v>
      </c>
      <c r="H8" s="15">
        <v>250</v>
      </c>
      <c r="I8" s="16">
        <v>3</v>
      </c>
      <c r="K8" s="13">
        <f>K6*K7/100</f>
        <v>968.8</v>
      </c>
    </row>
    <row r="9" spans="1:11" ht="15.75" x14ac:dyDescent="0.2">
      <c r="A9" s="14"/>
      <c r="B9" s="15"/>
      <c r="C9" s="15"/>
      <c r="D9" s="15"/>
      <c r="E9" s="15"/>
      <c r="F9" s="15"/>
      <c r="G9" s="15"/>
      <c r="H9" s="15"/>
      <c r="I9" s="16"/>
      <c r="K9" s="13">
        <f>K6-K8</f>
        <v>23251.200000000001</v>
      </c>
    </row>
    <row r="10" spans="1:11" ht="15.75" x14ac:dyDescent="0.2">
      <c r="A10" s="14"/>
      <c r="B10" s="15"/>
      <c r="C10" s="15"/>
      <c r="D10" s="15"/>
      <c r="E10" s="15"/>
      <c r="F10" s="15"/>
      <c r="G10" s="15"/>
      <c r="H10" s="15"/>
      <c r="I10" s="16"/>
    </row>
    <row r="11" spans="1:11" ht="15.75" x14ac:dyDescent="0.2">
      <c r="A11" s="14"/>
      <c r="B11" s="15"/>
      <c r="C11" s="15"/>
      <c r="D11" s="15"/>
      <c r="E11" s="15"/>
      <c r="F11" s="15"/>
      <c r="G11" s="15"/>
      <c r="H11" s="15"/>
      <c r="I11" s="16"/>
    </row>
    <row r="12" spans="1:11" ht="15.75" x14ac:dyDescent="0.2">
      <c r="A12" s="14"/>
      <c r="B12" s="15"/>
      <c r="C12" s="15"/>
      <c r="D12" s="15"/>
      <c r="E12" s="15"/>
      <c r="F12" s="15"/>
      <c r="G12" s="15"/>
      <c r="H12" s="15"/>
      <c r="I12" s="16"/>
    </row>
    <row r="13" spans="1:11" ht="15.75" x14ac:dyDescent="0.2">
      <c r="A13" s="14"/>
      <c r="B13" s="15"/>
      <c r="C13" s="15"/>
      <c r="D13" s="15"/>
      <c r="E13" s="15"/>
      <c r="F13" s="15"/>
      <c r="G13" s="15"/>
      <c r="H13" s="15"/>
      <c r="I13" s="16"/>
    </row>
    <row r="14" spans="1:11" ht="15.75" x14ac:dyDescent="0.2">
      <c r="A14" s="14"/>
      <c r="B14" s="15"/>
      <c r="C14" s="15"/>
      <c r="D14" s="15"/>
      <c r="E14" s="15"/>
      <c r="F14" s="15"/>
      <c r="G14" s="15"/>
      <c r="H14" s="15"/>
      <c r="I14" s="16"/>
    </row>
    <row r="15" spans="1:11" ht="15.75" x14ac:dyDescent="0.2">
      <c r="A15" s="14"/>
      <c r="B15" s="15"/>
      <c r="C15" s="15"/>
      <c r="D15" s="15"/>
      <c r="E15" s="15"/>
      <c r="F15" s="15"/>
      <c r="G15" s="15"/>
      <c r="H15" s="15"/>
      <c r="I15" s="16"/>
    </row>
    <row r="16" spans="1:11" ht="15.75" x14ac:dyDescent="0.2">
      <c r="A16" s="14"/>
      <c r="B16" s="15"/>
      <c r="C16" s="15"/>
      <c r="D16" s="15"/>
      <c r="E16" s="15"/>
      <c r="F16" s="15"/>
      <c r="G16" s="15"/>
      <c r="H16" s="15"/>
      <c r="I16" s="16"/>
    </row>
    <row r="17" spans="1:9" ht="15.75" x14ac:dyDescent="0.2">
      <c r="A17" s="14"/>
      <c r="B17" s="15"/>
      <c r="C17" s="15"/>
      <c r="D17" s="15"/>
      <c r="E17" s="15"/>
      <c r="F17" s="15"/>
      <c r="G17" s="15"/>
      <c r="H17" s="15"/>
      <c r="I17" s="16"/>
    </row>
    <row r="18" spans="1:9" ht="15.75" x14ac:dyDescent="0.2">
      <c r="A18" s="14"/>
      <c r="B18" s="15"/>
      <c r="C18" s="15"/>
      <c r="D18" s="15"/>
      <c r="E18" s="15"/>
      <c r="F18" s="15"/>
      <c r="G18" s="15"/>
      <c r="H18" s="15"/>
      <c r="I18" s="16"/>
    </row>
    <row r="19" spans="1:9" ht="15.75" x14ac:dyDescent="0.2">
      <c r="A19" s="14"/>
      <c r="B19" s="15"/>
      <c r="C19" s="15"/>
      <c r="D19" s="15"/>
      <c r="E19" s="15"/>
      <c r="F19" s="15"/>
      <c r="G19" s="15"/>
      <c r="H19" s="15"/>
      <c r="I19" s="16"/>
    </row>
    <row r="20" spans="1:9" ht="15.75" x14ac:dyDescent="0.2">
      <c r="A20" s="14"/>
      <c r="B20" s="15"/>
      <c r="C20" s="15"/>
      <c r="D20" s="15"/>
      <c r="E20" s="15"/>
      <c r="F20" s="15"/>
      <c r="G20" s="15"/>
      <c r="H20" s="15"/>
      <c r="I20" s="16"/>
    </row>
    <row r="21" spans="1:9" ht="15.75" x14ac:dyDescent="0.2">
      <c r="A21" s="14"/>
      <c r="B21" s="15"/>
      <c r="C21" s="15"/>
      <c r="D21" s="15"/>
      <c r="E21" s="15"/>
      <c r="F21" s="15"/>
      <c r="G21" s="15"/>
      <c r="H21" s="15"/>
      <c r="I21" s="16"/>
    </row>
    <row r="22" spans="1:9" ht="15.75" x14ac:dyDescent="0.2">
      <c r="A22" s="14"/>
      <c r="B22" s="15"/>
      <c r="C22" s="15"/>
      <c r="D22" s="15"/>
      <c r="E22" s="15"/>
      <c r="F22" s="15"/>
      <c r="G22" s="15"/>
      <c r="H22" s="15"/>
      <c r="I22" s="16"/>
    </row>
    <row r="23" spans="1:9" ht="15.75" x14ac:dyDescent="0.2">
      <c r="A23" s="14"/>
      <c r="B23" s="15"/>
      <c r="C23" s="15"/>
      <c r="D23" s="15"/>
      <c r="E23" s="15"/>
      <c r="F23" s="15"/>
      <c r="G23" s="15"/>
      <c r="H23" s="15"/>
      <c r="I23" s="16"/>
    </row>
    <row r="24" spans="1:9" ht="16.5" thickBot="1" x14ac:dyDescent="0.25">
      <c r="A24" s="17"/>
      <c r="B24" s="18"/>
      <c r="C24" s="18"/>
      <c r="D24" s="18"/>
      <c r="E24" s="18"/>
      <c r="F24" s="18"/>
      <c r="G24" s="18"/>
      <c r="H24" s="18"/>
      <c r="I24" s="19"/>
    </row>
    <row r="25" spans="1:9" ht="15" thickTop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"/>
  <sheetViews>
    <sheetView rightToLeft="1" workbookViewId="0">
      <selection activeCell="E21" sqref="E21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الرئيسية</vt:lpstr>
      <vt:lpstr>شيت المخزون</vt:lpstr>
      <vt:lpstr>المبيعات</vt:lpstr>
      <vt:lpstr>الفاتورة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الحمد لله</cp:lastModifiedBy>
  <dcterms:created xsi:type="dcterms:W3CDTF">2006-09-16T00:00:00Z</dcterms:created>
  <dcterms:modified xsi:type="dcterms:W3CDTF">2011-12-31T23:25:22Z</dcterms:modified>
</cp:coreProperties>
</file>