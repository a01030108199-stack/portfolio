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openinh stock" sheetId="1" r:id="rId1"/>
    <sheet name="PURCHASE" sheetId="2" r:id="rId2"/>
    <sheet name="sales" sheetId="3" r:id="rId3"/>
    <sheet name="closing stock" sheetId="4" r:id="rId4"/>
  </sheets>
  <definedNames>
    <definedName name="codpro">Table1[كود المنتج]</definedName>
  </definedNames>
  <calcPr calcId="144525"/>
</workbook>
</file>

<file path=xl/calcChain.xml><?xml version="1.0" encoding="utf-8"?>
<calcChain xmlns="http://schemas.openxmlformats.org/spreadsheetml/2006/main">
  <c r="D23" i="3" l="1"/>
  <c r="E23" i="3"/>
  <c r="G23" i="3" s="1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9" i="4"/>
  <c r="E10" i="4"/>
  <c r="E11" i="4"/>
  <c r="H11" i="4" s="1"/>
  <c r="I11" i="4" s="1"/>
  <c r="E12" i="4"/>
  <c r="E13" i="4"/>
  <c r="E14" i="4"/>
  <c r="E15" i="4"/>
  <c r="H15" i="4" s="1"/>
  <c r="I15" i="4" s="1"/>
  <c r="E16" i="4"/>
  <c r="E17" i="4"/>
  <c r="E18" i="4"/>
  <c r="E19" i="4"/>
  <c r="H19" i="4" s="1"/>
  <c r="I19" i="4" s="1"/>
  <c r="E20" i="4"/>
  <c r="E21" i="4"/>
  <c r="E22" i="4"/>
  <c r="E23" i="4"/>
  <c r="H23" i="4" s="1"/>
  <c r="I23" i="4" s="1"/>
  <c r="E9" i="4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E9" i="3"/>
  <c r="G9" i="3" s="1"/>
  <c r="E10" i="3"/>
  <c r="G10" i="3" s="1"/>
  <c r="E11" i="3"/>
  <c r="G11" i="3" s="1"/>
  <c r="E12" i="3"/>
  <c r="G12" i="3" s="1"/>
  <c r="E13" i="3"/>
  <c r="G13" i="3" s="1"/>
  <c r="E14" i="3"/>
  <c r="E15" i="3"/>
  <c r="G15" i="3" s="1"/>
  <c r="E16" i="3"/>
  <c r="G16" i="3" s="1"/>
  <c r="E17" i="3"/>
  <c r="G17" i="3" s="1"/>
  <c r="E18" i="3"/>
  <c r="G18" i="3" s="1"/>
  <c r="E19" i="3"/>
  <c r="G19" i="3" s="1"/>
  <c r="E20" i="3"/>
  <c r="G20" i="3" s="1"/>
  <c r="E21" i="3"/>
  <c r="G21" i="3" s="1"/>
  <c r="E22" i="3"/>
  <c r="G22" i="3" s="1"/>
  <c r="G14" i="3"/>
  <c r="D8" i="3"/>
  <c r="E8" i="3"/>
  <c r="G8" i="3" s="1"/>
  <c r="E7" i="3"/>
  <c r="G7" i="3" s="1"/>
  <c r="D7" i="3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E9" i="2"/>
  <c r="G9" i="2" s="1"/>
  <c r="E10" i="2"/>
  <c r="E11" i="2"/>
  <c r="G11" i="2" s="1"/>
  <c r="E12" i="2"/>
  <c r="G12" i="2" s="1"/>
  <c r="E13" i="2"/>
  <c r="G13" i="2" s="1"/>
  <c r="E14" i="2"/>
  <c r="E15" i="2"/>
  <c r="G15" i="2" s="1"/>
  <c r="E16" i="2"/>
  <c r="G16" i="2" s="1"/>
  <c r="E17" i="2"/>
  <c r="G17" i="2" s="1"/>
  <c r="E18" i="2"/>
  <c r="G18" i="2" s="1"/>
  <c r="E19" i="2"/>
  <c r="G19" i="2" s="1"/>
  <c r="E20" i="2"/>
  <c r="G20" i="2" s="1"/>
  <c r="E21" i="2"/>
  <c r="G21" i="2" s="1"/>
  <c r="G10" i="2"/>
  <c r="G14" i="2"/>
  <c r="D8" i="2"/>
  <c r="E8" i="2"/>
  <c r="G8" i="2" s="1"/>
  <c r="E7" i="2"/>
  <c r="G7" i="2" s="1"/>
  <c r="D7" i="2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7" i="1"/>
  <c r="H22" i="4" l="1"/>
  <c r="I22" i="4" s="1"/>
  <c r="H18" i="4"/>
  <c r="I18" i="4" s="1"/>
  <c r="H14" i="4"/>
  <c r="I14" i="4" s="1"/>
  <c r="H10" i="4"/>
  <c r="I10" i="4" s="1"/>
  <c r="H9" i="4"/>
  <c r="I9" i="4" s="1"/>
  <c r="H20" i="4"/>
  <c r="I20" i="4" s="1"/>
  <c r="H16" i="4"/>
  <c r="I16" i="4" s="1"/>
  <c r="H12" i="4"/>
  <c r="I12" i="4" s="1"/>
  <c r="H21" i="4"/>
  <c r="I21" i="4" s="1"/>
  <c r="H17" i="4"/>
  <c r="I17" i="4" s="1"/>
  <c r="H13" i="4"/>
  <c r="I13" i="4" s="1"/>
  <c r="L12" i="4" l="1"/>
</calcChain>
</file>

<file path=xl/sharedStrings.xml><?xml version="1.0" encoding="utf-8"?>
<sst xmlns="http://schemas.openxmlformats.org/spreadsheetml/2006/main" count="122" uniqueCount="48">
  <si>
    <t>كود المنتج</t>
  </si>
  <si>
    <t>اسم المنتج</t>
  </si>
  <si>
    <t>الكميه</t>
  </si>
  <si>
    <t>اجمالى التكلفه</t>
  </si>
  <si>
    <t>سعر بيع المنتج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</si>
  <si>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</si>
  <si>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</si>
  <si>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</si>
  <si>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</si>
  <si>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</si>
  <si>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</si>
  <si>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</si>
  <si>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</si>
  <si>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</si>
  <si>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</si>
  <si>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</si>
  <si>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</si>
  <si>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</si>
  <si>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</si>
  <si>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</si>
  <si>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التاريخ</t>
  </si>
  <si>
    <t xml:space="preserve">السعر </t>
  </si>
  <si>
    <t>التكلفه</t>
  </si>
  <si>
    <t>السعر</t>
  </si>
  <si>
    <t>موبايل</t>
  </si>
  <si>
    <t>شاشه</t>
  </si>
  <si>
    <t>فلاشة</t>
  </si>
  <si>
    <t>سكرينة</t>
  </si>
  <si>
    <t>لوحه مفاتيح</t>
  </si>
  <si>
    <t>راما</t>
  </si>
  <si>
    <t>ذاكره</t>
  </si>
  <si>
    <t>طباعه</t>
  </si>
  <si>
    <t>كرت شاشه</t>
  </si>
  <si>
    <t>مايك</t>
  </si>
  <si>
    <t>سماعه</t>
  </si>
  <si>
    <t>كابل USB</t>
  </si>
  <si>
    <t>لاب توب كفر</t>
  </si>
  <si>
    <t>هارد ديسك</t>
  </si>
  <si>
    <t>بلوتوث ماجيك</t>
  </si>
  <si>
    <t>المشتريات</t>
  </si>
  <si>
    <t>المبيعات</t>
  </si>
  <si>
    <t>ستوك المشتريات</t>
  </si>
  <si>
    <t>ستوك المبيعات</t>
  </si>
  <si>
    <t>موازنه المخزون</t>
  </si>
  <si>
    <t>المبلغ</t>
  </si>
  <si>
    <t>اغلاق المخزون</t>
  </si>
  <si>
    <t xml:space="preserve">فتح المخزن </t>
  </si>
  <si>
    <t>اصناف المخزن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</si>
</sst>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name val="Arial"/>
      <family val="2"/>
      <charset val="178"/>
      <scheme val="minor"/>
    </font>
    <font>
      <sz val="12"/>
      <name val="Arial"/>
      <family val="2"/>
      <scheme val="minor"/>
    </font>
    <font>
      <b/>
      <sz val="12"/>
      <name val="Arial"/>
      <family val="2"/>
      <scheme val="minor"/>
    </font>
    <font>
      <b/>
      <sz val="14"/>
      <color theme="3"/>
      <name val="Times New Roman"/>
      <family val="2"/>
      <charset val="178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2" fillId="3" borderId="2" applyNumberFormat="0" applyFont="0" applyAlignment="0" applyProtection="0"/>
    <xf numFmtId="0" fontId="1" fillId="4" borderId="0" applyNumberFormat="0" applyBorder="0" applyAlignment="0" applyProtection="0"/>
    <xf numFmtId="0" fontId="5" fillId="7" borderId="0" applyNumberFormat="0" applyBorder="0" applyAlignment="0" applyProtection="0"/>
  </cellStyleXfs>
  <cellXfs count="31">
    <xf numFmtId="0" fontId="0" fillId="0" borderId="0" xfId="0"/>
    <xf numFmtId="0" fontId="0" fillId="8" borderId="0" xfId="0" applyFill="1"/>
    <xf numFmtId="0" fontId="0" fillId="9" borderId="0" xfId="0" applyFill="1"/>
    <xf numFmtId="0" fontId="4" fillId="6" borderId="1" xfId="2" applyFill="1" applyAlignment="1">
      <alignment horizontal="center"/>
    </xf>
    <xf numFmtId="0" fontId="4" fillId="6" borderId="1" xfId="2" applyFill="1"/>
    <xf numFmtId="0" fontId="6" fillId="0" borderId="0" xfId="0" applyFont="1" applyAlignment="1">
      <alignment horizontal="center" vertical="center"/>
    </xf>
    <xf numFmtId="0" fontId="0" fillId="12" borderId="0" xfId="0" applyFill="1"/>
    <xf numFmtId="0" fontId="0" fillId="11" borderId="0" xfId="0" applyFill="1"/>
    <xf numFmtId="0" fontId="9" fillId="7" borderId="0" xfId="5" applyFont="1" applyAlignment="1">
      <alignment horizontal="center" vertical="center"/>
    </xf>
    <xf numFmtId="0" fontId="4" fillId="6" borderId="1" xfId="2" applyFill="1" applyAlignment="1">
      <alignment horizontal="center"/>
    </xf>
    <xf numFmtId="14" fontId="9" fillId="7" borderId="0" xfId="5" applyNumberFormat="1" applyFont="1" applyAlignment="1">
      <alignment horizontal="center" vertical="center"/>
    </xf>
    <xf numFmtId="14" fontId="10" fillId="7" borderId="0" xfId="5" applyNumberFormat="1" applyFont="1" applyAlignment="1">
      <alignment horizontal="center" vertical="center"/>
    </xf>
    <xf numFmtId="0" fontId="10" fillId="7" borderId="0" xfId="5" applyFont="1" applyAlignment="1">
      <alignment horizontal="center" vertical="center"/>
    </xf>
    <xf numFmtId="0" fontId="4" fillId="5" borderId="1" xfId="2" applyFill="1" applyAlignment="1">
      <alignment horizontal="center" vertical="center"/>
    </xf>
    <xf numFmtId="0" fontId="4" fillId="5" borderId="1" xfId="2" applyFill="1"/>
    <xf numFmtId="0" fontId="11" fillId="3" borderId="2" xfId="3" applyFont="1" applyAlignment="1">
      <alignment horizontal="center" vertical="center"/>
    </xf>
    <xf numFmtId="14" fontId="11" fillId="3" borderId="2" xfId="3" applyNumberFormat="1" applyFont="1" applyAlignment="1">
      <alignment horizontal="center" vertical="center"/>
    </xf>
    <xf numFmtId="14" fontId="11" fillId="3" borderId="6" xfId="3" applyNumberFormat="1" applyFont="1" applyBorder="1" applyAlignment="1">
      <alignment horizontal="center" vertical="center"/>
    </xf>
    <xf numFmtId="0" fontId="11" fillId="3" borderId="6" xfId="3" applyFont="1" applyBorder="1" applyAlignment="1">
      <alignment horizontal="center" vertical="center"/>
    </xf>
    <xf numFmtId="0" fontId="3" fillId="2" borderId="1" xfId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" fillId="4" borderId="8" xfId="4" applyBorder="1" applyAlignment="1">
      <alignment horizontal="center" vertical="center"/>
    </xf>
    <xf numFmtId="0" fontId="1" fillId="4" borderId="3" xfId="4" applyBorder="1" applyAlignment="1">
      <alignment horizontal="center" vertical="center"/>
    </xf>
    <xf numFmtId="0" fontId="1" fillId="4" borderId="7" xfId="4" applyBorder="1" applyAlignment="1">
      <alignment horizontal="center" vertical="center"/>
    </xf>
    <xf numFmtId="0" fontId="3" fillId="4" borderId="1" xfId="1" applyFill="1" applyBorder="1" applyAlignment="1">
      <alignment horizontal="center" vertical="center"/>
    </xf>
    <xf numFmtId="0" fontId="7" fillId="4" borderId="5" xfId="4" applyFont="1" applyBorder="1" applyAlignment="1">
      <alignment horizontal="center" vertical="center"/>
    </xf>
    <xf numFmtId="0" fontId="7" fillId="4" borderId="4" xfId="4" applyFont="1" applyBorder="1" applyAlignment="1">
      <alignment horizontal="center" vertical="center"/>
    </xf>
    <xf numFmtId="0" fontId="7" fillId="4" borderId="0" xfId="4" applyFont="1" applyAlignment="1">
      <alignment horizontal="center" vertical="center"/>
    </xf>
    <xf numFmtId="0" fontId="7" fillId="0" borderId="0" xfId="4" applyFont="1" applyFill="1" applyAlignment="1">
      <alignment horizontal="center" vertical="center"/>
    </xf>
    <xf numFmtId="1" fontId="0" fillId="12" borderId="0" xfId="0" applyNumberFormat="1" applyFill="1"/>
    <xf numFmtId="0" fontId="8" fillId="10" borderId="0" xfId="4" applyFont="1" applyFill="1" applyAlignment="1">
      <alignment horizontal="center" vertical="center"/>
    </xf>
  </cellXfs>
  <cellStyles count="6">
    <cellStyle name="20% - Accent3" xfId="4" builtinId="38"/>
    <cellStyle name="60% - Accent5" xfId="5" builtinId="48"/>
    <cellStyle name="Heading 1" xfId="2" builtinId="16"/>
    <cellStyle name="Normal" xfId="0" builtinId="0"/>
    <cellStyle name="Note" xfId="3" builtinId="10"/>
    <cellStyle name="Title" xfId="1" builtinId="15"/>
  </cellStyles>
  <dxfs count="44">
    <dxf>
      <font>
        <b/>
        <strike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border outline="0">
        <left style="thin">
          <color theme="4"/>
        </left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3"/>
        <name val="Times New Roman"/>
        <scheme val="maj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2" defaultTableStyle="TableStyleMedium2" defaultPivotStyle="PivotStyleMedium9">
    <tableStyle name="Table Style 1" pivot="0" count="0"/>
    <tableStyle name="Table Style 2" pivot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losing stock'!A1"/><Relationship Id="rId2" Type="http://schemas.openxmlformats.org/officeDocument/2006/relationships/hyperlink" Target="#sales!A1"/><Relationship Id="rId1" Type="http://schemas.openxmlformats.org/officeDocument/2006/relationships/hyperlink" Target="#PURCHAS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closing stock'!A1"/><Relationship Id="rId2" Type="http://schemas.openxmlformats.org/officeDocument/2006/relationships/hyperlink" Target="#sales!A1"/><Relationship Id="rId1" Type="http://schemas.openxmlformats.org/officeDocument/2006/relationships/hyperlink" Target="#'openinh stock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closing stock'!A1"/><Relationship Id="rId2" Type="http://schemas.openxmlformats.org/officeDocument/2006/relationships/hyperlink" Target="#PURCHASE!A1"/><Relationship Id="rId1" Type="http://schemas.openxmlformats.org/officeDocument/2006/relationships/hyperlink" Target="#'openinh stock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sales!A1"/><Relationship Id="rId2" Type="http://schemas.openxmlformats.org/officeDocument/2006/relationships/hyperlink" Target="#PURCHASE!A1"/><Relationship Id="rId1" Type="http://schemas.openxmlformats.org/officeDocument/2006/relationships/hyperlink" Target="#'openinh stock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5</xdr:row>
      <xdr:rowOff>57150</xdr:rowOff>
    </xdr:from>
    <xdr:to>
      <xdr:col>9</xdr:col>
      <xdr:colOff>38101</xdr:colOff>
      <xdr:row>8</xdr:row>
      <xdr:rowOff>19050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11229936899" y="1047750"/>
          <a:ext cx="1104901" cy="5334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1" anchor="ctr">
          <a:scene3d>
            <a:camera prst="orthographicFront"/>
            <a:lightRig rig="glow" dir="tl">
              <a:rot lat="0" lon="0" rev="5400000"/>
            </a:lightRig>
          </a:scene3d>
          <a:sp3d contourW="12700">
            <a:bevelT w="25400" h="25400"/>
            <a:contourClr>
              <a:schemeClr val="accent6">
                <a:shade val="73000"/>
              </a:schemeClr>
            </a:contourClr>
          </a:sp3d>
        </a:bodyPr>
        <a:lstStyle/>
        <a:p>
          <a:pPr algn="ctr" rtl="1"/>
          <a:r>
            <a:rPr lang="ar-EG" sz="1200" b="1" cap="none" spc="0">
              <a:ln w="11430"/>
              <a:solidFill>
                <a:sysClr val="windowText" lastClr="000000"/>
              </a:soli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المشتريات</a:t>
          </a:r>
        </a:p>
      </xdr:txBody>
    </xdr:sp>
    <xdr:clientData/>
  </xdr:twoCellAnchor>
  <xdr:twoCellAnchor>
    <xdr:from>
      <xdr:col>7</xdr:col>
      <xdr:colOff>304800</xdr:colOff>
      <xdr:row>9</xdr:row>
      <xdr:rowOff>142875</xdr:rowOff>
    </xdr:from>
    <xdr:to>
      <xdr:col>9</xdr:col>
      <xdr:colOff>95250</xdr:colOff>
      <xdr:row>12</xdr:row>
      <xdr:rowOff>104775</xdr:rowOff>
    </xdr:to>
    <xdr:sp macro="" textlink="">
      <xdr:nvSpPr>
        <xdr:cNvPr id="4" name="Rounded Rectangle 3">
          <a:hlinkClick xmlns:r="http://schemas.openxmlformats.org/officeDocument/2006/relationships" r:id="rId2"/>
        </xdr:cNvPr>
        <xdr:cNvSpPr/>
      </xdr:nvSpPr>
      <xdr:spPr>
        <a:xfrm>
          <a:off x="11229879750" y="1895475"/>
          <a:ext cx="1162050" cy="53340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>
          <a:scene3d>
            <a:camera prst="orthographicFront"/>
            <a:lightRig rig="glow" dir="tl">
              <a:rot lat="0" lon="0" rev="5400000"/>
            </a:lightRig>
          </a:scene3d>
          <a:sp3d contourW="12700">
            <a:bevelT w="25400" h="25400"/>
            <a:contourClr>
              <a:schemeClr val="accent6">
                <a:shade val="73000"/>
              </a:schemeClr>
            </a:contourClr>
          </a:sp3d>
        </a:bodyPr>
        <a:lstStyle/>
        <a:p>
          <a:pPr algn="ctr" rtl="1"/>
          <a:r>
            <a:rPr lang="ar-EG" sz="1200" b="1" cap="none" spc="0">
              <a:ln w="11430"/>
              <a:solidFill>
                <a:sysClr val="windowText" lastClr="000000"/>
              </a:soli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المبيعات</a:t>
          </a:r>
        </a:p>
      </xdr:txBody>
    </xdr:sp>
    <xdr:clientData/>
  </xdr:twoCellAnchor>
  <xdr:twoCellAnchor>
    <xdr:from>
      <xdr:col>7</xdr:col>
      <xdr:colOff>352425</xdr:colOff>
      <xdr:row>14</xdr:row>
      <xdr:rowOff>161925</xdr:rowOff>
    </xdr:from>
    <xdr:to>
      <xdr:col>9</xdr:col>
      <xdr:colOff>142875</xdr:colOff>
      <xdr:row>17</xdr:row>
      <xdr:rowOff>123825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11229832125" y="2867025"/>
          <a:ext cx="1162050" cy="5334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1" anchor="ctr">
          <a:scene3d>
            <a:camera prst="orthographicFront"/>
            <a:lightRig rig="glow" dir="tl">
              <a:rot lat="0" lon="0" rev="5400000"/>
            </a:lightRig>
          </a:scene3d>
          <a:sp3d contourW="12700">
            <a:bevelT w="25400" h="25400"/>
            <a:contourClr>
              <a:schemeClr val="accent6">
                <a:shade val="73000"/>
              </a:schemeClr>
            </a:contourClr>
          </a:sp3d>
        </a:bodyPr>
        <a:lstStyle/>
        <a:p>
          <a:pPr algn="ctr" rtl="1"/>
          <a:r>
            <a:rPr lang="ar-EG" sz="1200" b="1" cap="none" spc="0">
              <a:ln w="11430"/>
              <a:solidFill>
                <a:sysClr val="windowText" lastClr="000000"/>
              </a:soli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رصيد المخزن</a:t>
          </a:r>
        </a:p>
      </xdr:txBody>
    </xdr:sp>
    <xdr:clientData/>
  </xdr:twoCellAnchor>
  <xdr:twoCellAnchor>
    <xdr:from>
      <xdr:col>4</xdr:col>
      <xdr:colOff>238126</xdr:colOff>
      <xdr:row>1</xdr:row>
      <xdr:rowOff>19050</xdr:rowOff>
    </xdr:from>
    <xdr:to>
      <xdr:col>6</xdr:col>
      <xdr:colOff>57151</xdr:colOff>
      <xdr:row>4</xdr:row>
      <xdr:rowOff>85725</xdr:rowOff>
    </xdr:to>
    <xdr:sp macro="" textlink="'closing stock'!L12">
      <xdr:nvSpPr>
        <xdr:cNvPr id="6" name="Rounded Rectangle 5"/>
        <xdr:cNvSpPr/>
      </xdr:nvSpPr>
      <xdr:spPr>
        <a:xfrm>
          <a:off x="11232289574" y="200025"/>
          <a:ext cx="1819275" cy="685800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 rtl="1"/>
          <a:fld id="{8F1ED442-BD5C-46BB-AE11-CD2398ECFFC5}" type="TxLink">
            <a:rPr lang="ar-EG" sz="32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133219</a:t>
          </a:fld>
          <a:endParaRPr lang="ar-EG" sz="32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twoCellAnchor>
  <xdr:twoCellAnchor>
    <xdr:from>
      <xdr:col>6</xdr:col>
      <xdr:colOff>152400</xdr:colOff>
      <xdr:row>1</xdr:row>
      <xdr:rowOff>19050</xdr:rowOff>
    </xdr:from>
    <xdr:to>
      <xdr:col>7</xdr:col>
      <xdr:colOff>542925</xdr:colOff>
      <xdr:row>4</xdr:row>
      <xdr:rowOff>66675</xdr:rowOff>
    </xdr:to>
    <xdr:sp macro="" textlink="">
      <xdr:nvSpPr>
        <xdr:cNvPr id="7" name="Right Arrow 6"/>
        <xdr:cNvSpPr/>
      </xdr:nvSpPr>
      <xdr:spPr>
        <a:xfrm>
          <a:off x="11230803675" y="200025"/>
          <a:ext cx="1390650" cy="666750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200" b="1">
              <a:solidFill>
                <a:sysClr val="windowText" lastClr="000000"/>
              </a:solidFill>
            </a:rPr>
            <a:t>اجمالى</a:t>
          </a:r>
          <a:r>
            <a:rPr lang="ar-EG" sz="1200" b="1" baseline="0">
              <a:solidFill>
                <a:sysClr val="windowText" lastClr="000000"/>
              </a:solidFill>
            </a:rPr>
            <a:t> مبلغ المخزن</a:t>
          </a:r>
          <a:endParaRPr lang="ar-EG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352424</xdr:colOff>
      <xdr:row>5</xdr:row>
      <xdr:rowOff>152400</xdr:rowOff>
    </xdr:from>
    <xdr:to>
      <xdr:col>9</xdr:col>
      <xdr:colOff>247650</xdr:colOff>
      <xdr:row>8</xdr:row>
      <xdr:rowOff>114300</xdr:rowOff>
    </xdr:to>
    <xdr:sp macro="" textlink="">
      <xdr:nvSpPr>
        <xdr:cNvPr id="6" name="Rounded Rectangle 5">
          <a:hlinkClick xmlns:r="http://schemas.openxmlformats.org/officeDocument/2006/relationships" r:id="rId1"/>
        </xdr:cNvPr>
        <xdr:cNvSpPr/>
      </xdr:nvSpPr>
      <xdr:spPr>
        <a:xfrm>
          <a:off x="11229727350" y="1143000"/>
          <a:ext cx="1266826" cy="5334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1" anchor="ctr">
          <a:scene3d>
            <a:camera prst="orthographicFront"/>
            <a:lightRig rig="glow" dir="tl">
              <a:rot lat="0" lon="0" rev="5400000"/>
            </a:lightRig>
          </a:scene3d>
          <a:sp3d contourW="12700">
            <a:bevelT w="25400" h="25400"/>
            <a:contourClr>
              <a:schemeClr val="accent6">
                <a:shade val="73000"/>
              </a:schemeClr>
            </a:contourClr>
          </a:sp3d>
        </a:bodyPr>
        <a:lstStyle/>
        <a:p>
          <a:pPr algn="ctr" rtl="1"/>
          <a:r>
            <a:rPr lang="ar-EG" sz="1600" b="1" cap="none" spc="0">
              <a:ln w="11430"/>
              <a:solidFill>
                <a:sysClr val="windowText" lastClr="000000"/>
              </a:soli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اصناف</a:t>
          </a:r>
          <a:r>
            <a:rPr lang="ar-EG" sz="1600" b="1" cap="none" spc="0" baseline="0">
              <a:ln w="11430"/>
              <a:solidFill>
                <a:sysClr val="windowText" lastClr="000000"/>
              </a:soli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 المخزن</a:t>
          </a:r>
          <a:endParaRPr lang="ar-EG" sz="1600" b="1" cap="none" spc="0">
            <a:ln w="11430"/>
            <a:solidFill>
              <a:sysClr val="windowText" lastClr="000000"/>
            </a:solidFill>
            <a:effectLst>
              <a:outerShdw blurRad="80000" dist="40000" dir="5040000" algn="tl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7</xdr:col>
      <xdr:colOff>352425</xdr:colOff>
      <xdr:row>11</xdr:row>
      <xdr:rowOff>76200</xdr:rowOff>
    </xdr:from>
    <xdr:to>
      <xdr:col>9</xdr:col>
      <xdr:colOff>142875</xdr:colOff>
      <xdr:row>14</xdr:row>
      <xdr:rowOff>38100</xdr:rowOff>
    </xdr:to>
    <xdr:sp macro="" textlink="">
      <xdr:nvSpPr>
        <xdr:cNvPr id="8" name="Rounded Rectangle 7">
          <a:hlinkClick xmlns:r="http://schemas.openxmlformats.org/officeDocument/2006/relationships" r:id="rId2"/>
        </xdr:cNvPr>
        <xdr:cNvSpPr/>
      </xdr:nvSpPr>
      <xdr:spPr>
        <a:xfrm>
          <a:off x="11229832125" y="2209800"/>
          <a:ext cx="1162050" cy="53340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>
          <a:scene3d>
            <a:camera prst="orthographicFront"/>
            <a:lightRig rig="glow" dir="tl">
              <a:rot lat="0" lon="0" rev="5400000"/>
            </a:lightRig>
          </a:scene3d>
          <a:sp3d contourW="12700">
            <a:bevelT w="25400" h="25400"/>
            <a:contourClr>
              <a:schemeClr val="accent6">
                <a:shade val="73000"/>
              </a:schemeClr>
            </a:contourClr>
          </a:sp3d>
        </a:bodyPr>
        <a:lstStyle/>
        <a:p>
          <a:pPr algn="ctr" rtl="1"/>
          <a:r>
            <a:rPr lang="ar-EG" sz="1200" b="1" cap="none" spc="0">
              <a:ln w="11430"/>
              <a:solidFill>
                <a:sysClr val="windowText" lastClr="000000"/>
              </a:soli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المبيعات</a:t>
          </a:r>
        </a:p>
      </xdr:txBody>
    </xdr:sp>
    <xdr:clientData/>
  </xdr:twoCellAnchor>
  <xdr:twoCellAnchor>
    <xdr:from>
      <xdr:col>7</xdr:col>
      <xdr:colOff>390525</xdr:colOff>
      <xdr:row>16</xdr:row>
      <xdr:rowOff>114300</xdr:rowOff>
    </xdr:from>
    <xdr:to>
      <xdr:col>9</xdr:col>
      <xdr:colOff>180975</xdr:colOff>
      <xdr:row>19</xdr:row>
      <xdr:rowOff>76200</xdr:rowOff>
    </xdr:to>
    <xdr:sp macro="" textlink="">
      <xdr:nvSpPr>
        <xdr:cNvPr id="9" name="Rounded Rectangle 8">
          <a:hlinkClick xmlns:r="http://schemas.openxmlformats.org/officeDocument/2006/relationships" r:id="rId3"/>
        </xdr:cNvPr>
        <xdr:cNvSpPr/>
      </xdr:nvSpPr>
      <xdr:spPr>
        <a:xfrm>
          <a:off x="11229794025" y="3200400"/>
          <a:ext cx="1162050" cy="5334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1" anchor="ctr">
          <a:scene3d>
            <a:camera prst="orthographicFront"/>
            <a:lightRig rig="glow" dir="tl">
              <a:rot lat="0" lon="0" rev="5400000"/>
            </a:lightRig>
          </a:scene3d>
          <a:sp3d contourW="12700">
            <a:bevelT w="25400" h="25400"/>
            <a:contourClr>
              <a:schemeClr val="accent6">
                <a:shade val="73000"/>
              </a:schemeClr>
            </a:contourClr>
          </a:sp3d>
        </a:bodyPr>
        <a:lstStyle/>
        <a:p>
          <a:pPr algn="ctr" rtl="1"/>
          <a:r>
            <a:rPr lang="ar-EG" sz="1200" b="1" cap="none" spc="0">
              <a:ln w="11430"/>
              <a:solidFill>
                <a:sysClr val="windowText" lastClr="000000"/>
              </a:soli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رصيد المخزن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5</xdr:row>
      <xdr:rowOff>104775</xdr:rowOff>
    </xdr:from>
    <xdr:to>
      <xdr:col>9</xdr:col>
      <xdr:colOff>66674</xdr:colOff>
      <xdr:row>8</xdr:row>
      <xdr:rowOff>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1229908326" y="1133475"/>
          <a:ext cx="1238250" cy="5334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1" anchor="ctr">
          <a:scene3d>
            <a:camera prst="orthographicFront"/>
            <a:lightRig rig="glow" dir="tl">
              <a:rot lat="0" lon="0" rev="5400000"/>
            </a:lightRig>
          </a:scene3d>
          <a:sp3d contourW="12700">
            <a:bevelT w="25400" h="25400"/>
            <a:contourClr>
              <a:schemeClr val="accent6">
                <a:shade val="73000"/>
              </a:schemeClr>
            </a:contourClr>
          </a:sp3d>
        </a:bodyPr>
        <a:lstStyle/>
        <a:p>
          <a:pPr algn="ctr" rtl="1"/>
          <a:r>
            <a:rPr lang="ar-EG" sz="1600" b="1" cap="none" spc="0">
              <a:ln w="11430"/>
              <a:solidFill>
                <a:sysClr val="windowText" lastClr="000000"/>
              </a:soli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اصناف</a:t>
          </a:r>
          <a:r>
            <a:rPr lang="ar-EG" sz="1600" b="1" cap="none" spc="0" baseline="0">
              <a:ln w="11430"/>
              <a:solidFill>
                <a:sysClr val="windowText" lastClr="000000"/>
              </a:soli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 المخزن</a:t>
          </a:r>
          <a:endParaRPr lang="ar-EG" sz="1600" b="1" cap="none" spc="0">
            <a:ln w="11430"/>
            <a:solidFill>
              <a:sysClr val="windowText" lastClr="000000"/>
            </a:solidFill>
            <a:effectLst>
              <a:outerShdw blurRad="80000" dist="40000" dir="5040000" algn="tl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7</xdr:col>
      <xdr:colOff>209550</xdr:colOff>
      <xdr:row>11</xdr:row>
      <xdr:rowOff>0</xdr:rowOff>
    </xdr:from>
    <xdr:to>
      <xdr:col>8</xdr:col>
      <xdr:colOff>628651</xdr:colOff>
      <xdr:row>13</xdr:row>
      <xdr:rowOff>133350</xdr:rowOff>
    </xdr:to>
    <xdr:sp macro="" textlink="">
      <xdr:nvSpPr>
        <xdr:cNvPr id="3" name="Rounded Rectangle 2">
          <a:hlinkClick xmlns:r="http://schemas.openxmlformats.org/officeDocument/2006/relationships" r:id="rId2"/>
        </xdr:cNvPr>
        <xdr:cNvSpPr/>
      </xdr:nvSpPr>
      <xdr:spPr>
        <a:xfrm>
          <a:off x="11230032149" y="2266950"/>
          <a:ext cx="1104901" cy="5334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1" anchor="ctr">
          <a:scene3d>
            <a:camera prst="orthographicFront"/>
            <a:lightRig rig="glow" dir="tl">
              <a:rot lat="0" lon="0" rev="5400000"/>
            </a:lightRig>
          </a:scene3d>
          <a:sp3d contourW="12700">
            <a:bevelT w="25400" h="25400"/>
            <a:contourClr>
              <a:schemeClr val="accent6">
                <a:shade val="73000"/>
              </a:schemeClr>
            </a:contourClr>
          </a:sp3d>
        </a:bodyPr>
        <a:lstStyle/>
        <a:p>
          <a:pPr algn="ctr" rtl="1"/>
          <a:r>
            <a:rPr lang="ar-EG" sz="1200" b="1" cap="none" spc="0">
              <a:ln w="11430"/>
              <a:solidFill>
                <a:sysClr val="windowText" lastClr="000000"/>
              </a:soli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المشتريات</a:t>
          </a:r>
        </a:p>
      </xdr:txBody>
    </xdr:sp>
    <xdr:clientData/>
  </xdr:twoCellAnchor>
  <xdr:twoCellAnchor>
    <xdr:from>
      <xdr:col>7</xdr:col>
      <xdr:colOff>238125</xdr:colOff>
      <xdr:row>16</xdr:row>
      <xdr:rowOff>57150</xdr:rowOff>
    </xdr:from>
    <xdr:to>
      <xdr:col>9</xdr:col>
      <xdr:colOff>28575</xdr:colOff>
      <xdr:row>18</xdr:row>
      <xdr:rowOff>190500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11229946425" y="3324225"/>
          <a:ext cx="1162050" cy="5334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1" anchor="ctr">
          <a:scene3d>
            <a:camera prst="orthographicFront"/>
            <a:lightRig rig="glow" dir="tl">
              <a:rot lat="0" lon="0" rev="5400000"/>
            </a:lightRig>
          </a:scene3d>
          <a:sp3d contourW="12700">
            <a:bevelT w="25400" h="25400"/>
            <a:contourClr>
              <a:schemeClr val="accent6">
                <a:shade val="73000"/>
              </a:schemeClr>
            </a:contourClr>
          </a:sp3d>
        </a:bodyPr>
        <a:lstStyle/>
        <a:p>
          <a:pPr algn="ctr" rtl="1"/>
          <a:r>
            <a:rPr lang="ar-EG" sz="1200" b="1" cap="none" spc="0">
              <a:ln w="11430"/>
              <a:solidFill>
                <a:sysClr val="windowText" lastClr="000000"/>
              </a:soli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رصيد المخزن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114299</xdr:colOff>
      <xdr:row>1</xdr:row>
      <xdr:rowOff>47625</xdr:rowOff>
    </xdr:from>
    <xdr:to>
      <xdr:col>2</xdr:col>
      <xdr:colOff>409574</xdr:colOff>
      <xdr:row>4</xdr:row>
      <xdr:rowOff>38100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1236128151" y="228600"/>
          <a:ext cx="1295400" cy="5334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1" anchor="ctr">
          <a:scene3d>
            <a:camera prst="orthographicFront"/>
            <a:lightRig rig="glow" dir="tl">
              <a:rot lat="0" lon="0" rev="5400000"/>
            </a:lightRig>
          </a:scene3d>
          <a:sp3d contourW="12700">
            <a:bevelT w="25400" h="25400"/>
            <a:contourClr>
              <a:schemeClr val="accent6">
                <a:shade val="73000"/>
              </a:schemeClr>
            </a:contourClr>
          </a:sp3d>
        </a:bodyPr>
        <a:lstStyle/>
        <a:p>
          <a:pPr algn="ctr" rtl="1"/>
          <a:r>
            <a:rPr lang="ar-EG" sz="1600" b="1" cap="none" spc="0">
              <a:ln w="11430"/>
              <a:solidFill>
                <a:sysClr val="windowText" lastClr="000000"/>
              </a:soli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اصناف</a:t>
          </a:r>
          <a:r>
            <a:rPr lang="ar-EG" sz="1600" b="1" cap="none" spc="0" baseline="0">
              <a:ln w="11430"/>
              <a:solidFill>
                <a:sysClr val="windowText" lastClr="000000"/>
              </a:soli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 المخزن</a:t>
          </a:r>
          <a:endParaRPr lang="ar-EG" sz="1600" b="1" cap="none" spc="0">
            <a:ln w="11430"/>
            <a:solidFill>
              <a:sysClr val="windowText" lastClr="000000"/>
            </a:solidFill>
            <a:effectLst>
              <a:outerShdw blurRad="80000" dist="40000" dir="5040000" algn="tl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3</xdr:col>
      <xdr:colOff>123825</xdr:colOff>
      <xdr:row>1</xdr:row>
      <xdr:rowOff>57150</xdr:rowOff>
    </xdr:from>
    <xdr:to>
      <xdr:col>4</xdr:col>
      <xdr:colOff>371476</xdr:colOff>
      <xdr:row>4</xdr:row>
      <xdr:rowOff>47625</xdr:rowOff>
    </xdr:to>
    <xdr:sp macro="" textlink="">
      <xdr:nvSpPr>
        <xdr:cNvPr id="3" name="Rounded Rectangle 2">
          <a:hlinkClick xmlns:r="http://schemas.openxmlformats.org/officeDocument/2006/relationships" r:id="rId2"/>
        </xdr:cNvPr>
        <xdr:cNvSpPr/>
      </xdr:nvSpPr>
      <xdr:spPr>
        <a:xfrm>
          <a:off x="11234194574" y="238125"/>
          <a:ext cx="1104901" cy="5334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1" anchor="ctr">
          <a:scene3d>
            <a:camera prst="orthographicFront"/>
            <a:lightRig rig="glow" dir="tl">
              <a:rot lat="0" lon="0" rev="5400000"/>
            </a:lightRig>
          </a:scene3d>
          <a:sp3d contourW="12700">
            <a:bevelT w="25400" h="25400"/>
            <a:contourClr>
              <a:schemeClr val="accent6">
                <a:shade val="73000"/>
              </a:schemeClr>
            </a:contourClr>
          </a:sp3d>
        </a:bodyPr>
        <a:lstStyle/>
        <a:p>
          <a:pPr algn="ctr" rtl="1"/>
          <a:r>
            <a:rPr lang="ar-EG" sz="1200" b="1" cap="none" spc="0">
              <a:ln w="11430"/>
              <a:solidFill>
                <a:sysClr val="windowText" lastClr="000000"/>
              </a:soli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المشتريات</a:t>
          </a:r>
        </a:p>
      </xdr:txBody>
    </xdr:sp>
    <xdr:clientData/>
  </xdr:twoCellAnchor>
  <xdr:twoCellAnchor>
    <xdr:from>
      <xdr:col>5</xdr:col>
      <xdr:colOff>209550</xdr:colOff>
      <xdr:row>1</xdr:row>
      <xdr:rowOff>66675</xdr:rowOff>
    </xdr:from>
    <xdr:to>
      <xdr:col>6</xdr:col>
      <xdr:colOff>371475</xdr:colOff>
      <xdr:row>4</xdr:row>
      <xdr:rowOff>57150</xdr:rowOff>
    </xdr:to>
    <xdr:sp macro="" textlink="">
      <xdr:nvSpPr>
        <xdr:cNvPr id="4" name="Rounded Rectangle 3">
          <a:hlinkClick xmlns:r="http://schemas.openxmlformats.org/officeDocument/2006/relationships" r:id="rId3"/>
        </xdr:cNvPr>
        <xdr:cNvSpPr/>
      </xdr:nvSpPr>
      <xdr:spPr>
        <a:xfrm>
          <a:off x="11232337200" y="247650"/>
          <a:ext cx="1162050" cy="53340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>
          <a:scene3d>
            <a:camera prst="orthographicFront"/>
            <a:lightRig rig="glow" dir="tl">
              <a:rot lat="0" lon="0" rev="5400000"/>
            </a:lightRig>
          </a:scene3d>
          <a:sp3d contourW="12700">
            <a:bevelT w="25400" h="25400"/>
            <a:contourClr>
              <a:schemeClr val="accent6">
                <a:shade val="73000"/>
              </a:schemeClr>
            </a:contourClr>
          </a:sp3d>
        </a:bodyPr>
        <a:lstStyle/>
        <a:p>
          <a:pPr algn="ctr" rtl="1"/>
          <a:r>
            <a:rPr lang="ar-EG" sz="1200" b="1" cap="none" spc="0">
              <a:ln w="11430"/>
              <a:solidFill>
                <a:sysClr val="windowText" lastClr="000000"/>
              </a:soli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المبيعات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B6:G21" headerRowDxfId="33" dataDxfId="31" totalsRowDxfId="32" headerRowCellStyle="Normal" dataCellStyle="Normal" totalsRowCellStyle="Normal">
  <tableColumns count="6">
    <tableColumn id="1" name="كود المنتج" totalsRowLabel="Total" dataDxfId="38" totalsRowDxfId="43" dataCellStyle="Accent3"/>
    <tableColumn id="6" name="اسم المنتج" dataDxfId="21" totalsRowDxfId="22" dataCellStyle="Accent3"/>
    <tableColumn id="2" name="السعر" dataDxfId="37" totalsRowDxfId="42" dataCellStyle="Accent3"/>
    <tableColumn id="3" name="الكميه" dataDxfId="36" totalsRowDxfId="41" dataCellStyle="Accent3"/>
    <tableColumn id="4" name="اجمالى التكلفه" dataDxfId="35" totalsRowDxfId="40" dataCellStyle="Accent3">
      <calculatedColumnFormula>Table1[[#This Row],[الكميه]]*Table1[[#This Row],[السعر]]</calculatedColumnFormula>
    </tableColumn>
    <tableColumn id="5" name="سعر بيع المنتج" totalsRowFunction="count" dataDxfId="34" totalsRowDxfId="39" dataCellStyle="Accent3">
      <calculatedColumnFormula>Table1[[#This Row],[السعر]]*120%</calculatedColumnFormula>
    </tableColumn>
  </tableColumns>
  <tableStyleInfo name="TableStyleLight16" showFirstColumn="1" showLastColumn="0" showRowStripes="1" showColumnStripes="0"/>
</table>
</file>

<file path=xl/tables/table2.xml><?xml version="1.0" encoding="utf-8"?>
<table xmlns="http://schemas.openxmlformats.org/spreadsheetml/2006/main" id="3" name="Table3" displayName="Table3" ref="B6:G21" totalsRowShown="0" headerRowDxfId="24" dataDxfId="23" headerRowCellStyle="60% - Accent5" dataCellStyle="60% - Accent5">
  <tableColumns count="6">
    <tableColumn id="1" name="التاريخ" dataDxfId="30" dataCellStyle="60% - Accent5"/>
    <tableColumn id="2" name="كود المنتج" dataDxfId="29" dataCellStyle="60% - Accent5"/>
    <tableColumn id="3" name="اسم المنتج" dataDxfId="28" dataCellStyle="60% - Accent5">
      <calculatedColumnFormula>IFERROR(VLOOKUP(C7,Table1[],2,FALSE),"")</calculatedColumnFormula>
    </tableColumn>
    <tableColumn id="4" name="السعر " dataDxfId="27" dataCellStyle="60% - Accent5">
      <calculatedColumnFormula>IFERROR(VLOOKUP(Table3[كود المنتج],Table1[],3,FALSE),"")</calculatedColumnFormula>
    </tableColumn>
    <tableColumn id="5" name="الكميه" dataDxfId="26" dataCellStyle="60% - Accent5"/>
    <tableColumn id="6" name="التكلفه" dataDxfId="25" dataCellStyle="60% - Accent5">
      <calculatedColumnFormula>IFERROR((Table3[[السعر ]]*Table3[الكميه]),"")</calculatedColumnFormula>
    </tableColumn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B6:G23" totalsRowShown="0" headerRowDxfId="13" dataDxfId="14" headerRowCellStyle="Title" dataCellStyle="Note">
  <tableColumns count="6">
    <tableColumn id="1" name="التاريخ" dataDxfId="20" dataCellStyle="Note"/>
    <tableColumn id="2" name="كود المنتج" dataDxfId="19" dataCellStyle="Note"/>
    <tableColumn id="3" name="اسم المنتج" dataDxfId="18" dataCellStyle="Note">
      <calculatedColumnFormula>IFERROR(VLOOKUP(C7,Table1[],2,FALSE),"")</calculatedColumnFormula>
    </tableColumn>
    <tableColumn id="4" name="السعر " dataDxfId="17" dataCellStyle="Note">
      <calculatedColumnFormula>IFERROR(VLOOKUP(Table4[كود المنتج],Table1[],6,FALSE),"")</calculatedColumnFormula>
    </tableColumn>
    <tableColumn id="5" name="الكميه" dataDxfId="16" dataCellStyle="Note"/>
    <tableColumn id="6" name="التكلفه" dataDxfId="15" dataCellStyle="Note">
      <calculatedColumnFormula>IFERROR((Table4[[السعر ]]*Table4[الكميه]),"")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B8:I23" totalsRowShown="0" headerRowDxfId="12" dataDxfId="5" tableBorderDxfId="11" headerRowCellStyle="20% - Accent3" dataCellStyle="20% - Accent3">
  <tableColumns count="8">
    <tableColumn id="1" name="كود المنتج" dataDxfId="10" dataCellStyle="20% - Accent3"/>
    <tableColumn id="2" name="اسم المنتج" dataDxfId="9" dataCellStyle="20% - Accent3"/>
    <tableColumn id="3" name="السعر" dataDxfId="8" dataCellStyle="20% - Accent3"/>
    <tableColumn id="4" name="فتح المخزن " dataDxfId="7" dataCellStyle="20% - Accent3">
      <calculatedColumnFormula>SUMIF(Table1[كود المنتج],Table5[[#This Row],[كود المنتج]],Table1[الكميه])</calculatedColumnFormula>
    </tableColumn>
    <tableColumn id="5" name="ستوك المشتريات" dataDxfId="6" dataCellStyle="20% - Accent3">
      <calculatedColumnFormula>SUMIF(Table3[كود المنتج],Table5[[#This Row],[كود المنتج]],Table3[الكميه])</calculatedColumnFormula>
    </tableColumn>
    <tableColumn id="6" name="ستوك المبيعات" dataDxfId="4" dataCellStyle="20% - Accent3">
      <calculatedColumnFormula>SUMIF(Table4[كود المنتج],Table5[[#This Row],[كود المنتج]],Table4[الكميه])</calculatedColumnFormula>
    </tableColumn>
    <tableColumn id="7" name="موازنه المخزون" dataDxfId="1" dataCellStyle="20% - Accent3">
      <calculatedColumnFormula>Table5[[#This Row],[فتح المخزن ]]+Table5[[#This Row],[ستوك المشتريات]]-G9</calculatedColumnFormula>
    </tableColumn>
    <tableColumn id="8" name="المبلغ" dataDxfId="0" dataCellStyle="20% - Accent3">
      <calculatedColumnFormula>Table5[[#This Row],[موازنه المخزون]]*Table5[[#This Row],[السعر]]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21"/>
  <sheetViews>
    <sheetView showGridLines="0" rightToLeft="1" tabSelected="1" workbookViewId="0"/>
  </sheetViews>
  <sheetFormatPr defaultRowHeight="14.25" x14ac:dyDescent="0.2"/>
  <cols>
    <col min="1" max="1" width="3.25" style="2" customWidth="1"/>
    <col min="2" max="3" width="9.25" style="2" customWidth="1"/>
    <col min="4" max="4" width="11" style="2" customWidth="1"/>
    <col min="5" max="7" width="13.125" style="2" customWidth="1"/>
    <col min="8" max="16384" width="9" style="2"/>
  </cols>
  <sheetData>
    <row r="4" spans="1:7" ht="20.25" thickBot="1" x14ac:dyDescent="0.35">
      <c r="A4" s="3" t="s">
        <v>47</v>
      </c>
      <c r="B4" s="3"/>
      <c r="C4" s="9"/>
      <c r="D4" s="4"/>
    </row>
    <row r="5" spans="1:7" ht="15" thickTop="1" x14ac:dyDescent="0.2"/>
    <row r="6" spans="1:7" ht="15" x14ac:dyDescent="0.2">
      <c r="B6" s="5" t="s">
        <v>0</v>
      </c>
      <c r="C6" s="5" t="s">
        <v>1</v>
      </c>
      <c r="D6" s="5" t="s">
        <v>23</v>
      </c>
      <c r="E6" s="5" t="s">
        <v>2</v>
      </c>
      <c r="F6" s="5" t="s">
        <v>3</v>
      </c>
      <c r="G6" s="5" t="s">
        <v>4</v>
      </c>
    </row>
    <row r="7" spans="1:7" ht="15" x14ac:dyDescent="0.2">
      <c r="B7" s="5" t="s">
        <v>5</v>
      </c>
      <c r="C7" s="5" t="s">
        <v>24</v>
      </c>
      <c r="D7" s="5">
        <v>301</v>
      </c>
      <c r="E7" s="5">
        <v>23</v>
      </c>
      <c r="F7" s="5">
        <f>Table1[[#This Row],[الكميه]]*Table1[[#This Row],[السعر]]</f>
        <v>6923</v>
      </c>
      <c r="G7" s="5">
        <f>Table1[[#This Row],[السعر]]*120%</f>
        <v>361.2</v>
      </c>
    </row>
    <row r="8" spans="1:7" ht="15" x14ac:dyDescent="0.2">
      <c r="B8" s="5" t="s">
        <v>6</v>
      </c>
      <c r="C8" s="5" t="s">
        <v>25</v>
      </c>
      <c r="D8" s="5">
        <v>120</v>
      </c>
      <c r="E8" s="5">
        <v>30</v>
      </c>
      <c r="F8" s="5">
        <f>Table1[[#This Row],[الكميه]]*Table1[[#This Row],[السعر]]</f>
        <v>3600</v>
      </c>
      <c r="G8" s="5">
        <f>Table1[[#This Row],[السعر]]*120%</f>
        <v>144</v>
      </c>
    </row>
    <row r="9" spans="1:7" ht="15" x14ac:dyDescent="0.2">
      <c r="B9" s="5" t="s">
        <v>7</v>
      </c>
      <c r="C9" s="5" t="s">
        <v>26</v>
      </c>
      <c r="D9" s="5">
        <v>50</v>
      </c>
      <c r="E9" s="5">
        <v>25</v>
      </c>
      <c r="F9" s="5">
        <f>Table1[[#This Row],[الكميه]]*Table1[[#This Row],[السعر]]</f>
        <v>1250</v>
      </c>
      <c r="G9" s="5">
        <f>Table1[[#This Row],[السعر]]*120%</f>
        <v>60</v>
      </c>
    </row>
    <row r="10" spans="1:7" ht="15" x14ac:dyDescent="0.2">
      <c r="B10" s="5" t="s">
        <v>8</v>
      </c>
      <c r="C10" s="5" t="s">
        <v>27</v>
      </c>
      <c r="D10" s="5">
        <v>20</v>
      </c>
      <c r="E10" s="5">
        <v>30</v>
      </c>
      <c r="F10" s="5">
        <f>Table1[[#This Row],[الكميه]]*Table1[[#This Row],[السعر]]</f>
        <v>600</v>
      </c>
      <c r="G10" s="5">
        <f>Table1[[#This Row],[السعر]]*120%</f>
        <v>24</v>
      </c>
    </row>
    <row r="11" spans="1:7" ht="15" x14ac:dyDescent="0.2">
      <c r="B11" s="5" t="s">
        <v>9</v>
      </c>
      <c r="C11" s="5" t="s">
        <v>28</v>
      </c>
      <c r="D11" s="5">
        <v>156</v>
      </c>
      <c r="E11" s="5">
        <v>50</v>
      </c>
      <c r="F11" s="5">
        <f>Table1[[#This Row],[الكميه]]*Table1[[#This Row],[السعر]]</f>
        <v>7800</v>
      </c>
      <c r="G11" s="5">
        <f>Table1[[#This Row],[السعر]]*120%</f>
        <v>187.2</v>
      </c>
    </row>
    <row r="12" spans="1:7" ht="15" x14ac:dyDescent="0.2">
      <c r="B12" s="5" t="s">
        <v>10</v>
      </c>
      <c r="C12" s="5" t="s">
        <v>29</v>
      </c>
      <c r="D12" s="5">
        <v>400</v>
      </c>
      <c r="E12" s="5">
        <v>23</v>
      </c>
      <c r="F12" s="5">
        <f>Table1[[#This Row],[الكميه]]*Table1[[#This Row],[السعر]]</f>
        <v>9200</v>
      </c>
      <c r="G12" s="5">
        <f>Table1[[#This Row],[السعر]]*120%</f>
        <v>480</v>
      </c>
    </row>
    <row r="13" spans="1:7" ht="15" x14ac:dyDescent="0.2">
      <c r="B13" s="5" t="s">
        <v>11</v>
      </c>
      <c r="C13" s="5" t="s">
        <v>30</v>
      </c>
      <c r="D13" s="5">
        <v>300</v>
      </c>
      <c r="E13" s="5">
        <v>45</v>
      </c>
      <c r="F13" s="5">
        <f>Table1[[#This Row],[الكميه]]*Table1[[#This Row],[السعر]]</f>
        <v>13500</v>
      </c>
      <c r="G13" s="5">
        <f>Table1[[#This Row],[السعر]]*120%</f>
        <v>360</v>
      </c>
    </row>
    <row r="14" spans="1:7" ht="15" x14ac:dyDescent="0.2">
      <c r="B14" s="5" t="s">
        <v>12</v>
      </c>
      <c r="C14" s="5" t="s">
        <v>31</v>
      </c>
      <c r="D14" s="5">
        <v>360</v>
      </c>
      <c r="E14" s="5">
        <v>12</v>
      </c>
      <c r="F14" s="5">
        <f>Table1[[#This Row],[الكميه]]*Table1[[#This Row],[السعر]]</f>
        <v>4320</v>
      </c>
      <c r="G14" s="5">
        <f>Table1[[#This Row],[السعر]]*120%</f>
        <v>432</v>
      </c>
    </row>
    <row r="15" spans="1:7" ht="15" x14ac:dyDescent="0.2">
      <c r="B15" s="5" t="s">
        <v>13</v>
      </c>
      <c r="C15" s="5" t="s">
        <v>32</v>
      </c>
      <c r="D15" s="5">
        <v>15</v>
      </c>
      <c r="E15" s="5">
        <v>33</v>
      </c>
      <c r="F15" s="5">
        <f>Table1[[#This Row],[الكميه]]*Table1[[#This Row],[السعر]]</f>
        <v>495</v>
      </c>
      <c r="G15" s="5">
        <f>Table1[[#This Row],[السعر]]*120%</f>
        <v>18</v>
      </c>
    </row>
    <row r="16" spans="1:7" ht="15" x14ac:dyDescent="0.2">
      <c r="B16" s="5" t="s">
        <v>14</v>
      </c>
      <c r="C16" s="5" t="s">
        <v>33</v>
      </c>
      <c r="D16" s="5">
        <v>430</v>
      </c>
      <c r="E16" s="5">
        <v>16</v>
      </c>
      <c r="F16" s="5">
        <f>Table1[[#This Row],[الكميه]]*Table1[[#This Row],[السعر]]</f>
        <v>6880</v>
      </c>
      <c r="G16" s="5">
        <f>Table1[[#This Row],[السعر]]*120%</f>
        <v>516</v>
      </c>
    </row>
    <row r="17" spans="2:7" ht="15" x14ac:dyDescent="0.2">
      <c r="B17" s="5" t="s">
        <v>15</v>
      </c>
      <c r="C17" s="5" t="s">
        <v>34</v>
      </c>
      <c r="D17" s="5">
        <v>520</v>
      </c>
      <c r="E17" s="5">
        <v>40</v>
      </c>
      <c r="F17" s="5">
        <f>Table1[[#This Row],[الكميه]]*Table1[[#This Row],[السعر]]</f>
        <v>20800</v>
      </c>
      <c r="G17" s="5">
        <f>Table1[[#This Row],[السعر]]*120%</f>
        <v>624</v>
      </c>
    </row>
    <row r="18" spans="2:7" ht="15" x14ac:dyDescent="0.2">
      <c r="B18" s="5" t="s">
        <v>16</v>
      </c>
      <c r="C18" s="5" t="s">
        <v>35</v>
      </c>
      <c r="D18" s="5">
        <v>600</v>
      </c>
      <c r="E18" s="5">
        <v>60</v>
      </c>
      <c r="F18" s="5">
        <f>Table1[[#This Row],[الكميه]]*Table1[[#This Row],[السعر]]</f>
        <v>36000</v>
      </c>
      <c r="G18" s="5">
        <f>Table1[[#This Row],[السعر]]*120%</f>
        <v>720</v>
      </c>
    </row>
    <row r="19" spans="2:7" ht="15" x14ac:dyDescent="0.2">
      <c r="B19" s="5" t="s">
        <v>17</v>
      </c>
      <c r="C19" s="5" t="s">
        <v>36</v>
      </c>
      <c r="D19" s="5">
        <v>120</v>
      </c>
      <c r="E19" s="5">
        <v>80</v>
      </c>
      <c r="F19" s="5">
        <f>Table1[[#This Row],[الكميه]]*Table1[[#This Row],[السعر]]</f>
        <v>9600</v>
      </c>
      <c r="G19" s="5">
        <f>Table1[[#This Row],[السعر]]*120%</f>
        <v>144</v>
      </c>
    </row>
    <row r="20" spans="2:7" ht="15" x14ac:dyDescent="0.2">
      <c r="B20" s="5" t="s">
        <v>18</v>
      </c>
      <c r="C20" s="5" t="s">
        <v>37</v>
      </c>
      <c r="D20" s="5">
        <v>150</v>
      </c>
      <c r="E20" s="5">
        <v>50</v>
      </c>
      <c r="F20" s="5">
        <f>Table1[[#This Row],[الكميه]]*Table1[[#This Row],[السعر]]</f>
        <v>7500</v>
      </c>
      <c r="G20" s="5">
        <f>Table1[[#This Row],[السعر]]*120%</f>
        <v>180</v>
      </c>
    </row>
    <row r="21" spans="2:7" ht="15" x14ac:dyDescent="0.2">
      <c r="B21" s="5" t="s">
        <v>19</v>
      </c>
      <c r="C21" s="5" t="s">
        <v>38</v>
      </c>
      <c r="D21" s="5">
        <v>263</v>
      </c>
      <c r="E21" s="5">
        <v>10</v>
      </c>
      <c r="F21" s="5">
        <f>Table1[[#This Row],[الكميه]]*Table1[[#This Row],[السعر]]</f>
        <v>2630</v>
      </c>
      <c r="G21" s="5">
        <f>Table1[[#This Row],[السعر]]*120%</f>
        <v>315.59999999999997</v>
      </c>
    </row>
  </sheetData>
  <mergeCells count="1">
    <mergeCell ref="A4:B4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21"/>
  <sheetViews>
    <sheetView showGridLines="0" rightToLeft="1" workbookViewId="0"/>
  </sheetViews>
  <sheetFormatPr defaultRowHeight="14.25" x14ac:dyDescent="0.2"/>
  <cols>
    <col min="1" max="1" width="4.125" style="7" customWidth="1"/>
    <col min="2" max="2" width="11.125" style="7" bestFit="1" customWidth="1"/>
    <col min="3" max="3" width="9.125" style="7" customWidth="1"/>
    <col min="4" max="4" width="9.25" style="7" customWidth="1"/>
    <col min="5" max="6" width="9" style="7"/>
    <col min="7" max="7" width="9.5" style="7" bestFit="1" customWidth="1"/>
    <col min="8" max="16384" width="9" style="7"/>
  </cols>
  <sheetData>
    <row r="4" spans="1:7" ht="20.25" thickBot="1" x14ac:dyDescent="0.35">
      <c r="A4" s="13" t="s">
        <v>39</v>
      </c>
      <c r="B4" s="13"/>
      <c r="C4" s="14"/>
    </row>
    <row r="5" spans="1:7" ht="15" thickTop="1" x14ac:dyDescent="0.2"/>
    <row r="6" spans="1:7" ht="15" x14ac:dyDescent="0.2">
      <c r="B6" s="8" t="s">
        <v>20</v>
      </c>
      <c r="C6" s="8" t="s">
        <v>0</v>
      </c>
      <c r="D6" s="8" t="s">
        <v>1</v>
      </c>
      <c r="E6" s="8" t="s">
        <v>21</v>
      </c>
      <c r="F6" s="8" t="s">
        <v>2</v>
      </c>
      <c r="G6" s="8" t="s">
        <v>22</v>
      </c>
    </row>
    <row r="7" spans="1:7" ht="15" x14ac:dyDescent="0.2">
      <c r="B7" s="10">
        <v>45658</v>
      </c>
      <c r="C7" s="8" t="s">
        <v>12</v>
      </c>
      <c r="D7" s="8" t="str">
        <f>IFERROR(VLOOKUP(C7,Table1[],2,FALSE),"")</f>
        <v>طباعه</v>
      </c>
      <c r="E7" s="8">
        <f>IFERROR(VLOOKUP(Table3[كود المنتج],Table1[],3,FALSE),"")</f>
        <v>360</v>
      </c>
      <c r="F7" s="8">
        <v>25</v>
      </c>
      <c r="G7" s="8">
        <f>IFERROR((Table3[[السعر ]]*Table3[الكميه]),"")</f>
        <v>9000</v>
      </c>
    </row>
    <row r="8" spans="1:7" ht="15" x14ac:dyDescent="0.2">
      <c r="B8" s="11">
        <v>45659</v>
      </c>
      <c r="C8" s="12" t="s">
        <v>5</v>
      </c>
      <c r="D8" s="12" t="str">
        <f>IFERROR(VLOOKUP(C8,Table1[],2,FALSE),"")</f>
        <v>موبايل</v>
      </c>
      <c r="E8" s="12">
        <f>IFERROR(VLOOKUP(Table3[كود المنتج],Table1[],3,FALSE),"")</f>
        <v>301</v>
      </c>
      <c r="F8" s="12">
        <v>3</v>
      </c>
      <c r="G8" s="8">
        <f>IFERROR((Table3[[السعر ]]*Table3[الكميه]),"")</f>
        <v>903</v>
      </c>
    </row>
    <row r="9" spans="1:7" ht="15" x14ac:dyDescent="0.2">
      <c r="B9" s="10">
        <v>45660</v>
      </c>
      <c r="C9" s="12" t="s">
        <v>6</v>
      </c>
      <c r="D9" s="12" t="str">
        <f>IFERROR(VLOOKUP(C9,Table1[],2,FALSE),"")</f>
        <v>شاشه</v>
      </c>
      <c r="E9" s="12">
        <f>IFERROR(VLOOKUP(Table3[كود المنتج],Table1[],3,FALSE),"")</f>
        <v>120</v>
      </c>
      <c r="F9" s="12">
        <v>6</v>
      </c>
      <c r="G9" s="12">
        <f>IFERROR((Table3[[السعر ]]*Table3[الكميه]),"")</f>
        <v>720</v>
      </c>
    </row>
    <row r="10" spans="1:7" ht="15" x14ac:dyDescent="0.2">
      <c r="B10" s="11">
        <v>45661</v>
      </c>
      <c r="C10" s="12" t="s">
        <v>7</v>
      </c>
      <c r="D10" s="12" t="str">
        <f>IFERROR(VLOOKUP(C10,Table1[],2,FALSE),"")</f>
        <v>فلاشة</v>
      </c>
      <c r="E10" s="12">
        <f>IFERROR(VLOOKUP(Table3[كود المنتج],Table1[],3,FALSE),"")</f>
        <v>50</v>
      </c>
      <c r="F10" s="12">
        <v>5</v>
      </c>
      <c r="G10" s="12">
        <f>IFERROR((Table3[[السعر ]]*Table3[الكميه]),"")</f>
        <v>250</v>
      </c>
    </row>
    <row r="11" spans="1:7" ht="15" x14ac:dyDescent="0.2">
      <c r="B11" s="10">
        <v>45662</v>
      </c>
      <c r="C11" s="12" t="s">
        <v>10</v>
      </c>
      <c r="D11" s="12" t="str">
        <f>IFERROR(VLOOKUP(C11,Table1[],2,FALSE),"")</f>
        <v>راما</v>
      </c>
      <c r="E11" s="12">
        <f>IFERROR(VLOOKUP(Table3[كود المنتج],Table1[],3,FALSE),"")</f>
        <v>400</v>
      </c>
      <c r="F11" s="12">
        <v>9</v>
      </c>
      <c r="G11" s="12">
        <f>IFERROR((Table3[[السعر ]]*Table3[الكميه]),"")</f>
        <v>3600</v>
      </c>
    </row>
    <row r="12" spans="1:7" ht="15" x14ac:dyDescent="0.2">
      <c r="B12" s="11">
        <v>45663</v>
      </c>
      <c r="C12" s="12" t="s">
        <v>11</v>
      </c>
      <c r="D12" s="12" t="str">
        <f>IFERROR(VLOOKUP(C12,Table1[],2,FALSE),"")</f>
        <v>ذاكره</v>
      </c>
      <c r="E12" s="12">
        <f>IFERROR(VLOOKUP(Table3[كود المنتج],Table1[],3,FALSE),"")</f>
        <v>300</v>
      </c>
      <c r="F12" s="12">
        <v>10</v>
      </c>
      <c r="G12" s="12">
        <f>IFERROR((Table3[[السعر ]]*Table3[الكميه]),"")</f>
        <v>3000</v>
      </c>
    </row>
    <row r="13" spans="1:7" ht="15" x14ac:dyDescent="0.2">
      <c r="B13" s="10">
        <v>45664</v>
      </c>
      <c r="C13" s="12" t="s">
        <v>12</v>
      </c>
      <c r="D13" s="12" t="str">
        <f>IFERROR(VLOOKUP(C13,Table1[],2,FALSE),"")</f>
        <v>طباعه</v>
      </c>
      <c r="E13" s="12">
        <f>IFERROR(VLOOKUP(Table3[كود المنتج],Table1[],3,FALSE),"")</f>
        <v>360</v>
      </c>
      <c r="F13" s="12">
        <v>5</v>
      </c>
      <c r="G13" s="12">
        <f>IFERROR((Table3[[السعر ]]*Table3[الكميه]),"")</f>
        <v>1800</v>
      </c>
    </row>
    <row r="14" spans="1:7" ht="15" x14ac:dyDescent="0.2">
      <c r="B14" s="11">
        <v>45665</v>
      </c>
      <c r="C14" s="12" t="s">
        <v>6</v>
      </c>
      <c r="D14" s="12" t="str">
        <f>IFERROR(VLOOKUP(C14,Table1[],2,FALSE),"")</f>
        <v>شاشه</v>
      </c>
      <c r="E14" s="12">
        <f>IFERROR(VLOOKUP(Table3[كود المنتج],Table1[],3,FALSE),"")</f>
        <v>120</v>
      </c>
      <c r="F14" s="12">
        <v>4</v>
      </c>
      <c r="G14" s="12">
        <f>IFERROR((Table3[[السعر ]]*Table3[الكميه]),"")</f>
        <v>480</v>
      </c>
    </row>
    <row r="15" spans="1:7" ht="15" x14ac:dyDescent="0.2">
      <c r="B15" s="10">
        <v>45666</v>
      </c>
      <c r="C15" s="12" t="s">
        <v>10</v>
      </c>
      <c r="D15" s="12" t="str">
        <f>IFERROR(VLOOKUP(C15,Table1[],2,FALSE),"")</f>
        <v>راما</v>
      </c>
      <c r="E15" s="12">
        <f>IFERROR(VLOOKUP(Table3[كود المنتج],Table1[],3,FALSE),"")</f>
        <v>400</v>
      </c>
      <c r="F15" s="12">
        <v>6</v>
      </c>
      <c r="G15" s="12">
        <f>IFERROR((Table3[[السعر ]]*Table3[الكميه]),"")</f>
        <v>2400</v>
      </c>
    </row>
    <row r="16" spans="1:7" ht="15" x14ac:dyDescent="0.2">
      <c r="B16" s="11">
        <v>45667</v>
      </c>
      <c r="C16" s="12" t="s">
        <v>6</v>
      </c>
      <c r="D16" s="12" t="str">
        <f>IFERROR(VLOOKUP(C16,Table1[],2,FALSE),"")</f>
        <v>شاشه</v>
      </c>
      <c r="E16" s="12">
        <f>IFERROR(VLOOKUP(Table3[كود المنتج],Table1[],3,FALSE),"")</f>
        <v>120</v>
      </c>
      <c r="F16" s="12">
        <v>15</v>
      </c>
      <c r="G16" s="12">
        <f>IFERROR((Table3[[السعر ]]*Table3[الكميه]),"")</f>
        <v>1800</v>
      </c>
    </row>
    <row r="17" spans="2:7" ht="15" x14ac:dyDescent="0.2">
      <c r="B17" s="10">
        <v>45668</v>
      </c>
      <c r="C17" s="12" t="s">
        <v>8</v>
      </c>
      <c r="D17" s="12" t="str">
        <f>IFERROR(VLOOKUP(C17,Table1[],2,FALSE),"")</f>
        <v>سكرينة</v>
      </c>
      <c r="E17" s="12">
        <f>IFERROR(VLOOKUP(Table3[كود المنتج],Table1[],3,FALSE),"")</f>
        <v>20</v>
      </c>
      <c r="F17" s="12">
        <v>2</v>
      </c>
      <c r="G17" s="12">
        <f>IFERROR((Table3[[السعر ]]*Table3[الكميه]),"")</f>
        <v>40</v>
      </c>
    </row>
    <row r="18" spans="2:7" ht="15" x14ac:dyDescent="0.2">
      <c r="B18" s="11">
        <v>45669</v>
      </c>
      <c r="C18" s="12" t="s">
        <v>5</v>
      </c>
      <c r="D18" s="12" t="str">
        <f>IFERROR(VLOOKUP(C18,Table1[],2,FALSE),"")</f>
        <v>موبايل</v>
      </c>
      <c r="E18" s="12">
        <f>IFERROR(VLOOKUP(Table3[كود المنتج],Table1[],3,FALSE),"")</f>
        <v>301</v>
      </c>
      <c r="F18" s="12">
        <v>5</v>
      </c>
      <c r="G18" s="12">
        <f>IFERROR((Table3[[السعر ]]*Table3[الكميه]),"")</f>
        <v>1505</v>
      </c>
    </row>
    <row r="19" spans="2:7" ht="15" x14ac:dyDescent="0.2">
      <c r="B19" s="10">
        <v>45670</v>
      </c>
      <c r="C19" s="12" t="s">
        <v>11</v>
      </c>
      <c r="D19" s="12" t="str">
        <f>IFERROR(VLOOKUP(C19,Table1[],2,FALSE),"")</f>
        <v>ذاكره</v>
      </c>
      <c r="E19" s="12">
        <f>IFERROR(VLOOKUP(Table3[كود المنتج],Table1[],3,FALSE),"")</f>
        <v>300</v>
      </c>
      <c r="F19" s="12">
        <v>6</v>
      </c>
      <c r="G19" s="12">
        <f>IFERROR((Table3[[السعر ]]*Table3[الكميه]),"")</f>
        <v>1800</v>
      </c>
    </row>
    <row r="20" spans="2:7" ht="15" x14ac:dyDescent="0.2">
      <c r="B20" s="11">
        <v>45671</v>
      </c>
      <c r="C20" s="12" t="s">
        <v>19</v>
      </c>
      <c r="D20" s="12" t="str">
        <f>IFERROR(VLOOKUP(C20,Table1[],2,FALSE),"")</f>
        <v>بلوتوث ماجيك</v>
      </c>
      <c r="E20" s="12">
        <f>IFERROR(VLOOKUP(Table3[كود المنتج],Table1[],3,FALSE),"")</f>
        <v>263</v>
      </c>
      <c r="F20" s="12">
        <v>1</v>
      </c>
      <c r="G20" s="12">
        <f>IFERROR((Table3[[السعر ]]*Table3[الكميه]),"")</f>
        <v>263</v>
      </c>
    </row>
    <row r="21" spans="2:7" ht="15" x14ac:dyDescent="0.2">
      <c r="B21" s="10">
        <v>45672</v>
      </c>
      <c r="C21" s="12" t="s">
        <v>17</v>
      </c>
      <c r="D21" s="12" t="str">
        <f>IFERROR(VLOOKUP(C21,Table1[],2,FALSE),"")</f>
        <v>لاب توب كفر</v>
      </c>
      <c r="E21" s="12">
        <f>IFERROR(VLOOKUP(Table3[كود المنتج],Table1[],3,FALSE),"")</f>
        <v>120</v>
      </c>
      <c r="F21" s="12">
        <v>9</v>
      </c>
      <c r="G21" s="12">
        <f>IFERROR((Table3[[السعر ]]*Table3[الكميه]),"")</f>
        <v>1080</v>
      </c>
    </row>
  </sheetData>
  <mergeCells count="1">
    <mergeCell ref="A4:B4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'openinh stock'!$B$7:$B$21</xm:f>
          </x14:formula1>
          <xm:sqref>C7:C21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23"/>
  <sheetViews>
    <sheetView rightToLeft="1" workbookViewId="0"/>
  </sheetViews>
  <sheetFormatPr defaultRowHeight="14.25" x14ac:dyDescent="0.2"/>
  <cols>
    <col min="1" max="1" width="9" style="1"/>
    <col min="2" max="7" width="11.375" style="1" customWidth="1"/>
    <col min="8" max="16384" width="9" style="1"/>
  </cols>
  <sheetData>
    <row r="4" spans="1:7" ht="23.25" thickBot="1" x14ac:dyDescent="0.25">
      <c r="A4" s="19" t="s">
        <v>40</v>
      </c>
      <c r="B4" s="19"/>
    </row>
    <row r="5" spans="1:7" ht="15" thickTop="1" x14ac:dyDescent="0.2"/>
    <row r="6" spans="1:7" ht="18.75" x14ac:dyDescent="0.2">
      <c r="B6" s="20" t="s">
        <v>20</v>
      </c>
      <c r="C6" s="20" t="s">
        <v>0</v>
      </c>
      <c r="D6" s="20" t="s">
        <v>1</v>
      </c>
      <c r="E6" s="20" t="s">
        <v>21</v>
      </c>
      <c r="F6" s="20" t="s">
        <v>2</v>
      </c>
      <c r="G6" s="20" t="s">
        <v>22</v>
      </c>
    </row>
    <row r="7" spans="1:7" ht="15.75" x14ac:dyDescent="0.2">
      <c r="B7" s="16">
        <v>45672</v>
      </c>
      <c r="C7" s="15" t="s">
        <v>11</v>
      </c>
      <c r="D7" s="15" t="str">
        <f>IFERROR(VLOOKUP(C7,Table1[],2,FALSE),"")</f>
        <v>ذاكره</v>
      </c>
      <c r="E7" s="15">
        <f>IFERROR(VLOOKUP(Table4[كود المنتج],Table1[],6,FALSE),"")</f>
        <v>360</v>
      </c>
      <c r="F7" s="15">
        <v>4</v>
      </c>
      <c r="G7" s="15">
        <f>IFERROR((Table4[[السعر ]]*Table4[الكميه]),"")</f>
        <v>1440</v>
      </c>
    </row>
    <row r="8" spans="1:7" ht="15.75" x14ac:dyDescent="0.2">
      <c r="B8" s="17">
        <v>45673</v>
      </c>
      <c r="C8" s="18" t="s">
        <v>5</v>
      </c>
      <c r="D8" s="18" t="str">
        <f>IFERROR(VLOOKUP(C8,Table1[],2,FALSE),"")</f>
        <v>موبايل</v>
      </c>
      <c r="E8" s="18">
        <f>IFERROR(VLOOKUP(Table4[كود المنتج],Table1[],6,FALSE),"")</f>
        <v>361.2</v>
      </c>
      <c r="F8" s="18">
        <v>3</v>
      </c>
      <c r="G8" s="18">
        <f>IFERROR((Table4[[السعر ]]*Table4[الكميه]),"")</f>
        <v>1083.5999999999999</v>
      </c>
    </row>
    <row r="9" spans="1:7" ht="15.75" x14ac:dyDescent="0.2">
      <c r="B9" s="16">
        <v>45674</v>
      </c>
      <c r="C9" s="15" t="s">
        <v>6</v>
      </c>
      <c r="D9" s="15" t="str">
        <f>IFERROR(VLOOKUP(C9,Table1[],2,FALSE),"")</f>
        <v>شاشه</v>
      </c>
      <c r="E9" s="15">
        <f>IFERROR(VLOOKUP(Table4[كود المنتج],Table1[],6,FALSE),"")</f>
        <v>144</v>
      </c>
      <c r="F9" s="15">
        <v>7</v>
      </c>
      <c r="G9" s="15">
        <f>IFERROR((Table4[[السعر ]]*Table4[الكميه]),"")</f>
        <v>1008</v>
      </c>
    </row>
    <row r="10" spans="1:7" ht="15.75" x14ac:dyDescent="0.2">
      <c r="B10" s="17">
        <v>45675</v>
      </c>
      <c r="C10" s="15" t="s">
        <v>6</v>
      </c>
      <c r="D10" s="15" t="str">
        <f>IFERROR(VLOOKUP(C10,Table1[],2,FALSE),"")</f>
        <v>شاشه</v>
      </c>
      <c r="E10" s="15">
        <f>IFERROR(VLOOKUP(Table4[كود المنتج],Table1[],6,FALSE),"")</f>
        <v>144</v>
      </c>
      <c r="F10" s="15">
        <v>3</v>
      </c>
      <c r="G10" s="15">
        <f>IFERROR((Table4[[السعر ]]*Table4[الكميه]),"")</f>
        <v>432</v>
      </c>
    </row>
    <row r="11" spans="1:7" ht="15.75" x14ac:dyDescent="0.2">
      <c r="B11" s="16">
        <v>45676</v>
      </c>
      <c r="C11" s="15" t="s">
        <v>5</v>
      </c>
      <c r="D11" s="15" t="str">
        <f>IFERROR(VLOOKUP(C11,Table1[],2,FALSE),"")</f>
        <v>موبايل</v>
      </c>
      <c r="E11" s="15">
        <f>IFERROR(VLOOKUP(Table4[كود المنتج],Table1[],6,FALSE),"")</f>
        <v>361.2</v>
      </c>
      <c r="F11" s="15">
        <v>4</v>
      </c>
      <c r="G11" s="15">
        <f>IFERROR((Table4[[السعر ]]*Table4[الكميه]),"")</f>
        <v>1444.8</v>
      </c>
    </row>
    <row r="12" spans="1:7" ht="15.75" x14ac:dyDescent="0.2">
      <c r="B12" s="17">
        <v>45677</v>
      </c>
      <c r="C12" s="15" t="s">
        <v>12</v>
      </c>
      <c r="D12" s="15" t="str">
        <f>IFERROR(VLOOKUP(C12,Table1[],2,FALSE),"")</f>
        <v>طباعه</v>
      </c>
      <c r="E12" s="15">
        <f>IFERROR(VLOOKUP(Table4[كود المنتج],Table1[],6,FALSE),"")</f>
        <v>432</v>
      </c>
      <c r="F12" s="15">
        <v>3</v>
      </c>
      <c r="G12" s="15">
        <f>IFERROR((Table4[[السعر ]]*Table4[الكميه]),"")</f>
        <v>1296</v>
      </c>
    </row>
    <row r="13" spans="1:7" ht="15.75" x14ac:dyDescent="0.2">
      <c r="B13" s="16">
        <v>45678</v>
      </c>
      <c r="C13" s="15" t="s">
        <v>19</v>
      </c>
      <c r="D13" s="15" t="str">
        <f>IFERROR(VLOOKUP(C13,Table1[],2,FALSE),"")</f>
        <v>بلوتوث ماجيك</v>
      </c>
      <c r="E13" s="15">
        <f>IFERROR(VLOOKUP(Table4[كود المنتج],Table1[],6,FALSE),"")</f>
        <v>315.59999999999997</v>
      </c>
      <c r="F13" s="15">
        <v>6</v>
      </c>
      <c r="G13" s="15">
        <f>IFERROR((Table4[[السعر ]]*Table4[الكميه]),"")</f>
        <v>1893.6</v>
      </c>
    </row>
    <row r="14" spans="1:7" ht="15.75" x14ac:dyDescent="0.2">
      <c r="B14" s="17">
        <v>45679</v>
      </c>
      <c r="C14" s="15" t="s">
        <v>14</v>
      </c>
      <c r="D14" s="15" t="str">
        <f>IFERROR(VLOOKUP(C14,Table1[],2,FALSE),"")</f>
        <v>مايك</v>
      </c>
      <c r="E14" s="15">
        <f>IFERROR(VLOOKUP(Table4[كود المنتج],Table1[],6,FALSE),"")</f>
        <v>516</v>
      </c>
      <c r="F14" s="15">
        <v>8</v>
      </c>
      <c r="G14" s="15">
        <f>IFERROR((Table4[[السعر ]]*Table4[الكميه]),"")</f>
        <v>4128</v>
      </c>
    </row>
    <row r="15" spans="1:7" ht="15.75" x14ac:dyDescent="0.2">
      <c r="B15" s="16">
        <v>45680</v>
      </c>
      <c r="C15" s="15" t="s">
        <v>17</v>
      </c>
      <c r="D15" s="15" t="str">
        <f>IFERROR(VLOOKUP(C15,Table1[],2,FALSE),"")</f>
        <v>لاب توب كفر</v>
      </c>
      <c r="E15" s="15">
        <f>IFERROR(VLOOKUP(Table4[كود المنتج],Table1[],6,FALSE),"")</f>
        <v>144</v>
      </c>
      <c r="F15" s="15">
        <v>4</v>
      </c>
      <c r="G15" s="15">
        <f>IFERROR((Table4[[السعر ]]*Table4[الكميه]),"")</f>
        <v>576</v>
      </c>
    </row>
    <row r="16" spans="1:7" ht="15.75" x14ac:dyDescent="0.2">
      <c r="B16" s="17">
        <v>45681</v>
      </c>
      <c r="C16" s="15" t="s">
        <v>11</v>
      </c>
      <c r="D16" s="15" t="str">
        <f>IFERROR(VLOOKUP(C16,Table1[],2,FALSE),"")</f>
        <v>ذاكره</v>
      </c>
      <c r="E16" s="15">
        <f>IFERROR(VLOOKUP(Table4[كود المنتج],Table1[],6,FALSE),"")</f>
        <v>360</v>
      </c>
      <c r="F16" s="15">
        <v>5</v>
      </c>
      <c r="G16" s="15">
        <f>IFERROR((Table4[[السعر ]]*Table4[الكميه]),"")</f>
        <v>1800</v>
      </c>
    </row>
    <row r="17" spans="2:7" ht="15.75" x14ac:dyDescent="0.2">
      <c r="B17" s="16">
        <v>45682</v>
      </c>
      <c r="C17" s="15" t="s">
        <v>12</v>
      </c>
      <c r="D17" s="15" t="str">
        <f>IFERROR(VLOOKUP(C17,Table1[],2,FALSE),"")</f>
        <v>طباعه</v>
      </c>
      <c r="E17" s="15">
        <f>IFERROR(VLOOKUP(Table4[كود المنتج],Table1[],6,FALSE),"")</f>
        <v>432</v>
      </c>
      <c r="F17" s="15">
        <v>4</v>
      </c>
      <c r="G17" s="15">
        <f>IFERROR((Table4[[السعر ]]*Table4[الكميه]),"")</f>
        <v>1728</v>
      </c>
    </row>
    <row r="18" spans="2:7" ht="15.75" x14ac:dyDescent="0.2">
      <c r="B18" s="17">
        <v>45683</v>
      </c>
      <c r="C18" s="15" t="s">
        <v>10</v>
      </c>
      <c r="D18" s="15" t="str">
        <f>IFERROR(VLOOKUP(C18,Table1[],2,FALSE),"")</f>
        <v>راما</v>
      </c>
      <c r="E18" s="15">
        <f>IFERROR(VLOOKUP(Table4[كود المنتج],Table1[],6,FALSE),"")</f>
        <v>480</v>
      </c>
      <c r="F18" s="15">
        <v>9</v>
      </c>
      <c r="G18" s="15">
        <f>IFERROR((Table4[[السعر ]]*Table4[الكميه]),"")</f>
        <v>4320</v>
      </c>
    </row>
    <row r="19" spans="2:7" ht="15.75" x14ac:dyDescent="0.2">
      <c r="B19" s="16">
        <v>45684</v>
      </c>
      <c r="C19" s="15" t="s">
        <v>15</v>
      </c>
      <c r="D19" s="15" t="str">
        <f>IFERROR(VLOOKUP(C19,Table1[],2,FALSE),"")</f>
        <v>سماعه</v>
      </c>
      <c r="E19" s="15">
        <f>IFERROR(VLOOKUP(Table4[كود المنتج],Table1[],6,FALSE),"")</f>
        <v>624</v>
      </c>
      <c r="F19" s="15">
        <v>4</v>
      </c>
      <c r="G19" s="15">
        <f>IFERROR((Table4[[السعر ]]*Table4[الكميه]),"")</f>
        <v>2496</v>
      </c>
    </row>
    <row r="20" spans="2:7" ht="15.75" x14ac:dyDescent="0.2">
      <c r="B20" s="17">
        <v>45685</v>
      </c>
      <c r="C20" s="15" t="s">
        <v>10</v>
      </c>
      <c r="D20" s="15" t="str">
        <f>IFERROR(VLOOKUP(C20,Table1[],2,FALSE),"")</f>
        <v>راما</v>
      </c>
      <c r="E20" s="15">
        <f>IFERROR(VLOOKUP(Table4[كود المنتج],Table1[],6,FALSE),"")</f>
        <v>480</v>
      </c>
      <c r="F20" s="15">
        <v>8</v>
      </c>
      <c r="G20" s="15">
        <f>IFERROR((Table4[[السعر ]]*Table4[الكميه]),"")</f>
        <v>3840</v>
      </c>
    </row>
    <row r="21" spans="2:7" ht="15.75" x14ac:dyDescent="0.2">
      <c r="B21" s="16">
        <v>45686</v>
      </c>
      <c r="C21" s="15" t="s">
        <v>6</v>
      </c>
      <c r="D21" s="15" t="str">
        <f>IFERROR(VLOOKUP(C21,Table1[],2,FALSE),"")</f>
        <v>شاشه</v>
      </c>
      <c r="E21" s="15">
        <f>IFERROR(VLOOKUP(Table4[كود المنتج],Table1[],6,FALSE),"")</f>
        <v>144</v>
      </c>
      <c r="F21" s="15">
        <v>4</v>
      </c>
      <c r="G21" s="15">
        <f>IFERROR((Table4[[السعر ]]*Table4[الكميه]),"")</f>
        <v>576</v>
      </c>
    </row>
    <row r="22" spans="2:7" ht="15.75" x14ac:dyDescent="0.2">
      <c r="B22" s="17">
        <v>45687</v>
      </c>
      <c r="C22" s="15" t="s">
        <v>13</v>
      </c>
      <c r="D22" s="15" t="str">
        <f>IFERROR(VLOOKUP(C22,Table1[],2,FALSE),"")</f>
        <v>كرت شاشه</v>
      </c>
      <c r="E22" s="15">
        <f>IFERROR(VLOOKUP(Table4[كود المنتج],Table1[],6,FALSE),"")</f>
        <v>18</v>
      </c>
      <c r="F22" s="15">
        <v>1</v>
      </c>
      <c r="G22" s="15">
        <f>IFERROR((Table4[[السعر ]]*Table4[الكميه]),"")</f>
        <v>18</v>
      </c>
    </row>
    <row r="23" spans="2:7" ht="15.75" x14ac:dyDescent="0.2">
      <c r="B23" s="17">
        <v>45688</v>
      </c>
      <c r="C23" s="18" t="s">
        <v>9</v>
      </c>
      <c r="D23" s="18" t="str">
        <f>IFERROR(VLOOKUP(C23,Table1[],2,FALSE),"")</f>
        <v>لوحه مفاتيح</v>
      </c>
      <c r="E23" s="18">
        <f>IFERROR(VLOOKUP(Table4[كود المنتج],Table1[],6,FALSE),"")</f>
        <v>187.2</v>
      </c>
      <c r="F23" s="18">
        <v>20</v>
      </c>
      <c r="G23" s="18">
        <f>IFERROR((Table4[[السعر ]]*Table4[الكميه]),"")</f>
        <v>3744</v>
      </c>
    </row>
  </sheetData>
  <mergeCells count="1">
    <mergeCell ref="A4:B4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'openinh stock'!$B$7:$B$21</xm:f>
          </x14:formula1>
          <xm:sqref>C7:C23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23"/>
  <sheetViews>
    <sheetView rightToLeft="1" workbookViewId="0"/>
  </sheetViews>
  <sheetFormatPr defaultRowHeight="14.25" x14ac:dyDescent="0.2"/>
  <cols>
    <col min="1" max="1" width="3.5" style="6" customWidth="1"/>
    <col min="2" max="2" width="13.125" style="6" customWidth="1"/>
    <col min="3" max="5" width="11.25" style="6" customWidth="1"/>
    <col min="6" max="6" width="13.125" style="6" customWidth="1"/>
    <col min="7" max="7" width="11.875" style="6" customWidth="1"/>
    <col min="8" max="8" width="12.75" style="6" customWidth="1"/>
    <col min="9" max="9" width="11.25" style="6" customWidth="1"/>
    <col min="10" max="11" width="9" style="6"/>
    <col min="12" max="12" width="12.375" style="6" bestFit="1" customWidth="1"/>
    <col min="13" max="16384" width="9" style="6"/>
  </cols>
  <sheetData>
    <row r="6" spans="1:12" ht="23.25" thickBot="1" x14ac:dyDescent="0.25">
      <c r="A6" s="24" t="s">
        <v>45</v>
      </c>
      <c r="B6" s="24"/>
    </row>
    <row r="7" spans="1:12" ht="15" thickTop="1" x14ac:dyDescent="0.2"/>
    <row r="8" spans="1:12" ht="15" thickBot="1" x14ac:dyDescent="0.25">
      <c r="B8" s="21" t="s">
        <v>0</v>
      </c>
      <c r="C8" s="22" t="s">
        <v>1</v>
      </c>
      <c r="D8" s="22" t="s">
        <v>23</v>
      </c>
      <c r="E8" s="23" t="s">
        <v>46</v>
      </c>
      <c r="F8" s="23" t="s">
        <v>41</v>
      </c>
      <c r="G8" s="23" t="s">
        <v>42</v>
      </c>
      <c r="H8" s="23" t="s">
        <v>43</v>
      </c>
      <c r="I8" s="23" t="s">
        <v>44</v>
      </c>
    </row>
    <row r="9" spans="1:12" ht="15.75" x14ac:dyDescent="0.2">
      <c r="B9" s="25" t="s">
        <v>5</v>
      </c>
      <c r="C9" s="26" t="s">
        <v>24</v>
      </c>
      <c r="D9" s="26">
        <v>301</v>
      </c>
      <c r="E9" s="27">
        <f>SUMIF(Table1[كود المنتج],Table5[[#This Row],[كود المنتج]],Table1[الكميه])</f>
        <v>23</v>
      </c>
      <c r="F9" s="27">
        <f>SUMIF(Table3[كود المنتج],Table5[[#This Row],[كود المنتج]],Table3[الكميه])</f>
        <v>8</v>
      </c>
      <c r="G9" s="27">
        <f>SUMIF(Table4[كود المنتج],Table5[[#This Row],[كود المنتج]],Table4[الكميه])</f>
        <v>7</v>
      </c>
      <c r="H9" s="28">
        <f>Table5[[#This Row],[فتح المخزن ]]+Table5[[#This Row],[ستوك المشتريات]]-G9</f>
        <v>24</v>
      </c>
      <c r="I9" s="30">
        <f>Table5[[#This Row],[موازنه المخزون]]*Table5[[#This Row],[السعر]]</f>
        <v>7224</v>
      </c>
    </row>
    <row r="10" spans="1:12" ht="15.75" x14ac:dyDescent="0.2">
      <c r="B10" s="25" t="s">
        <v>6</v>
      </c>
      <c r="C10" s="26" t="s">
        <v>25</v>
      </c>
      <c r="D10" s="26">
        <v>120</v>
      </c>
      <c r="E10" s="27">
        <f>SUMIF(Table1[كود المنتج],Table5[[#This Row],[كود المنتج]],Table1[الكميه])</f>
        <v>30</v>
      </c>
      <c r="F10" s="27">
        <f>SUMIF(Table3[كود المنتج],Table5[[#This Row],[كود المنتج]],Table3[الكميه])</f>
        <v>25</v>
      </c>
      <c r="G10" s="27">
        <f>SUMIF(Table4[كود المنتج],Table5[[#This Row],[كود المنتج]],Table4[الكميه])</f>
        <v>14</v>
      </c>
      <c r="H10" s="28">
        <f>Table5[[#This Row],[فتح المخزن ]]+Table5[[#This Row],[ستوك المشتريات]]-G10</f>
        <v>41</v>
      </c>
      <c r="I10" s="30">
        <f>Table5[[#This Row],[موازنه المخزون]]*Table5[[#This Row],[السعر]]</f>
        <v>4920</v>
      </c>
    </row>
    <row r="11" spans="1:12" ht="15.75" x14ac:dyDescent="0.2">
      <c r="B11" s="25" t="s">
        <v>7</v>
      </c>
      <c r="C11" s="26" t="s">
        <v>26</v>
      </c>
      <c r="D11" s="26">
        <v>50</v>
      </c>
      <c r="E11" s="27">
        <f>SUMIF(Table1[كود المنتج],Table5[[#This Row],[كود المنتج]],Table1[الكميه])</f>
        <v>25</v>
      </c>
      <c r="F11" s="27">
        <f>SUMIF(Table3[كود المنتج],Table5[[#This Row],[كود المنتج]],Table3[الكميه])</f>
        <v>5</v>
      </c>
      <c r="G11" s="27">
        <f>SUMIF(Table4[كود المنتج],Table5[[#This Row],[كود المنتج]],Table4[الكميه])</f>
        <v>0</v>
      </c>
      <c r="H11" s="28">
        <f>Table5[[#This Row],[فتح المخزن ]]+Table5[[#This Row],[ستوك المشتريات]]-G11</f>
        <v>30</v>
      </c>
      <c r="I11" s="30">
        <f>Table5[[#This Row],[موازنه المخزون]]*Table5[[#This Row],[السعر]]</f>
        <v>1500</v>
      </c>
    </row>
    <row r="12" spans="1:12" ht="15.75" x14ac:dyDescent="0.2">
      <c r="B12" s="25" t="s">
        <v>8</v>
      </c>
      <c r="C12" s="26" t="s">
        <v>27</v>
      </c>
      <c r="D12" s="26">
        <v>20</v>
      </c>
      <c r="E12" s="27">
        <f>SUMIF(Table1[كود المنتج],Table5[[#This Row],[كود المنتج]],Table1[الكميه])</f>
        <v>30</v>
      </c>
      <c r="F12" s="27">
        <f>SUMIF(Table3[كود المنتج],Table5[[#This Row],[كود المنتج]],Table3[الكميه])</f>
        <v>2</v>
      </c>
      <c r="G12" s="27">
        <f>SUMIF(Table4[كود المنتج],Table5[[#This Row],[كود المنتج]],Table4[الكميه])</f>
        <v>0</v>
      </c>
      <c r="H12" s="28">
        <f>Table5[[#This Row],[فتح المخزن ]]+Table5[[#This Row],[ستوك المشتريات]]-G12</f>
        <v>32</v>
      </c>
      <c r="I12" s="30">
        <f>Table5[[#This Row],[موازنه المخزون]]*Table5[[#This Row],[السعر]]</f>
        <v>640</v>
      </c>
      <c r="L12" s="29">
        <f>SUM(Table5[المبلغ])</f>
        <v>133219</v>
      </c>
    </row>
    <row r="13" spans="1:12" ht="15.75" x14ac:dyDescent="0.2">
      <c r="B13" s="25" t="s">
        <v>9</v>
      </c>
      <c r="C13" s="26" t="s">
        <v>28</v>
      </c>
      <c r="D13" s="26">
        <v>156</v>
      </c>
      <c r="E13" s="27">
        <f>SUMIF(Table1[كود المنتج],Table5[[#This Row],[كود المنتج]],Table1[الكميه])</f>
        <v>50</v>
      </c>
      <c r="F13" s="27">
        <f>SUMIF(Table3[كود المنتج],Table5[[#This Row],[كود المنتج]],Table3[الكميه])</f>
        <v>0</v>
      </c>
      <c r="G13" s="27">
        <f>SUMIF(Table4[كود المنتج],Table5[[#This Row],[كود المنتج]],Table4[الكميه])</f>
        <v>20</v>
      </c>
      <c r="H13" s="28">
        <f>Table5[[#This Row],[فتح المخزن ]]+Table5[[#This Row],[ستوك المشتريات]]-G13</f>
        <v>30</v>
      </c>
      <c r="I13" s="30">
        <f>Table5[[#This Row],[موازنه المخزون]]*Table5[[#This Row],[السعر]]</f>
        <v>4680</v>
      </c>
    </row>
    <row r="14" spans="1:12" ht="15.75" x14ac:dyDescent="0.2">
      <c r="B14" s="25" t="s">
        <v>10</v>
      </c>
      <c r="C14" s="26" t="s">
        <v>29</v>
      </c>
      <c r="D14" s="26">
        <v>400</v>
      </c>
      <c r="E14" s="27">
        <f>SUMIF(Table1[كود المنتج],Table5[[#This Row],[كود المنتج]],Table1[الكميه])</f>
        <v>23</v>
      </c>
      <c r="F14" s="27">
        <f>SUMIF(Table3[كود المنتج],Table5[[#This Row],[كود المنتج]],Table3[الكميه])</f>
        <v>15</v>
      </c>
      <c r="G14" s="27">
        <f>SUMIF(Table4[كود المنتج],Table5[[#This Row],[كود المنتج]],Table4[الكميه])</f>
        <v>17</v>
      </c>
      <c r="H14" s="28">
        <f>Table5[[#This Row],[فتح المخزن ]]+Table5[[#This Row],[ستوك المشتريات]]-G14</f>
        <v>21</v>
      </c>
      <c r="I14" s="30">
        <f>Table5[[#This Row],[موازنه المخزون]]*Table5[[#This Row],[السعر]]</f>
        <v>8400</v>
      </c>
    </row>
    <row r="15" spans="1:12" ht="15.75" x14ac:dyDescent="0.2">
      <c r="B15" s="25" t="s">
        <v>11</v>
      </c>
      <c r="C15" s="26" t="s">
        <v>30</v>
      </c>
      <c r="D15" s="26">
        <v>300</v>
      </c>
      <c r="E15" s="27">
        <f>SUMIF(Table1[كود المنتج],Table5[[#This Row],[كود المنتج]],Table1[الكميه])</f>
        <v>45</v>
      </c>
      <c r="F15" s="27">
        <f>SUMIF(Table3[كود المنتج],Table5[[#This Row],[كود المنتج]],Table3[الكميه])</f>
        <v>16</v>
      </c>
      <c r="G15" s="27">
        <f>SUMIF(Table4[كود المنتج],Table5[[#This Row],[كود المنتج]],Table4[الكميه])</f>
        <v>9</v>
      </c>
      <c r="H15" s="28">
        <f>Table5[[#This Row],[فتح المخزن ]]+Table5[[#This Row],[ستوك المشتريات]]-G15</f>
        <v>52</v>
      </c>
      <c r="I15" s="30">
        <f>Table5[[#This Row],[موازنه المخزون]]*Table5[[#This Row],[السعر]]</f>
        <v>15600</v>
      </c>
    </row>
    <row r="16" spans="1:12" ht="15.75" x14ac:dyDescent="0.2">
      <c r="B16" s="25" t="s">
        <v>12</v>
      </c>
      <c r="C16" s="26" t="s">
        <v>31</v>
      </c>
      <c r="D16" s="26">
        <v>360</v>
      </c>
      <c r="E16" s="27">
        <f>SUMIF(Table1[كود المنتج],Table5[[#This Row],[كود المنتج]],Table1[الكميه])</f>
        <v>12</v>
      </c>
      <c r="F16" s="27">
        <f>SUMIF(Table3[كود المنتج],Table5[[#This Row],[كود المنتج]],Table3[الكميه])</f>
        <v>30</v>
      </c>
      <c r="G16" s="27">
        <f>SUMIF(Table4[كود المنتج],Table5[[#This Row],[كود المنتج]],Table4[الكميه])</f>
        <v>7</v>
      </c>
      <c r="H16" s="28">
        <f>Table5[[#This Row],[فتح المخزن ]]+Table5[[#This Row],[ستوك المشتريات]]-G16</f>
        <v>35</v>
      </c>
      <c r="I16" s="30">
        <f>Table5[[#This Row],[موازنه المخزون]]*Table5[[#This Row],[السعر]]</f>
        <v>12600</v>
      </c>
    </row>
    <row r="17" spans="2:9" ht="15.75" x14ac:dyDescent="0.2">
      <c r="B17" s="25" t="s">
        <v>13</v>
      </c>
      <c r="C17" s="26" t="s">
        <v>32</v>
      </c>
      <c r="D17" s="26">
        <v>15</v>
      </c>
      <c r="E17" s="27">
        <f>SUMIF(Table1[كود المنتج],Table5[[#This Row],[كود المنتج]],Table1[الكميه])</f>
        <v>33</v>
      </c>
      <c r="F17" s="27">
        <f>SUMIF(Table3[كود المنتج],Table5[[#This Row],[كود المنتج]],Table3[الكميه])</f>
        <v>0</v>
      </c>
      <c r="G17" s="27">
        <f>SUMIF(Table4[كود المنتج],Table5[[#This Row],[كود المنتج]],Table4[الكميه])</f>
        <v>1</v>
      </c>
      <c r="H17" s="28">
        <f>Table5[[#This Row],[فتح المخزن ]]+Table5[[#This Row],[ستوك المشتريات]]-G17</f>
        <v>32</v>
      </c>
      <c r="I17" s="30">
        <f>Table5[[#This Row],[موازنه المخزون]]*Table5[[#This Row],[السعر]]</f>
        <v>480</v>
      </c>
    </row>
    <row r="18" spans="2:9" ht="15.75" x14ac:dyDescent="0.2">
      <c r="B18" s="25" t="s">
        <v>14</v>
      </c>
      <c r="C18" s="26" t="s">
        <v>33</v>
      </c>
      <c r="D18" s="26">
        <v>430</v>
      </c>
      <c r="E18" s="27">
        <f>SUMIF(Table1[كود المنتج],Table5[[#This Row],[كود المنتج]],Table1[الكميه])</f>
        <v>16</v>
      </c>
      <c r="F18" s="27">
        <f>SUMIF(Table3[كود المنتج],Table5[[#This Row],[كود المنتج]],Table3[الكميه])</f>
        <v>0</v>
      </c>
      <c r="G18" s="27">
        <f>SUMIF(Table4[كود المنتج],Table5[[#This Row],[كود المنتج]],Table4[الكميه])</f>
        <v>8</v>
      </c>
      <c r="H18" s="28">
        <f>Table5[[#This Row],[فتح المخزن ]]+Table5[[#This Row],[ستوك المشتريات]]-G18</f>
        <v>8</v>
      </c>
      <c r="I18" s="30">
        <f>Table5[[#This Row],[موازنه المخزون]]*Table5[[#This Row],[السعر]]</f>
        <v>3440</v>
      </c>
    </row>
    <row r="19" spans="2:9" ht="15.75" x14ac:dyDescent="0.2">
      <c r="B19" s="25" t="s">
        <v>15</v>
      </c>
      <c r="C19" s="26" t="s">
        <v>34</v>
      </c>
      <c r="D19" s="26">
        <v>520</v>
      </c>
      <c r="E19" s="27">
        <f>SUMIF(Table1[كود المنتج],Table5[[#This Row],[كود المنتج]],Table1[الكميه])</f>
        <v>40</v>
      </c>
      <c r="F19" s="27">
        <f>SUMIF(Table3[كود المنتج],Table5[[#This Row],[كود المنتج]],Table3[الكميه])</f>
        <v>0</v>
      </c>
      <c r="G19" s="27">
        <f>SUMIF(Table4[كود المنتج],Table5[[#This Row],[كود المنتج]],Table4[الكميه])</f>
        <v>4</v>
      </c>
      <c r="H19" s="28">
        <f>Table5[[#This Row],[فتح المخزن ]]+Table5[[#This Row],[ستوك المشتريات]]-G19</f>
        <v>36</v>
      </c>
      <c r="I19" s="30">
        <f>Table5[[#This Row],[موازنه المخزون]]*Table5[[#This Row],[السعر]]</f>
        <v>18720</v>
      </c>
    </row>
    <row r="20" spans="2:9" ht="15.75" x14ac:dyDescent="0.2">
      <c r="B20" s="25" t="s">
        <v>16</v>
      </c>
      <c r="C20" s="26" t="s">
        <v>35</v>
      </c>
      <c r="D20" s="26">
        <v>600</v>
      </c>
      <c r="E20" s="27">
        <f>SUMIF(Table1[كود المنتج],Table5[[#This Row],[كود المنتج]],Table1[الكميه])</f>
        <v>60</v>
      </c>
      <c r="F20" s="27">
        <f>SUMIF(Table3[كود المنتج],Table5[[#This Row],[كود المنتج]],Table3[الكميه])</f>
        <v>0</v>
      </c>
      <c r="G20" s="27">
        <f>SUMIF(Table4[كود المنتج],Table5[[#This Row],[كود المنتج]],Table4[الكميه])</f>
        <v>0</v>
      </c>
      <c r="H20" s="28">
        <f>Table5[[#This Row],[فتح المخزن ]]+Table5[[#This Row],[ستوك المشتريات]]-G20</f>
        <v>60</v>
      </c>
      <c r="I20" s="30">
        <f>Table5[[#This Row],[موازنه المخزون]]*Table5[[#This Row],[السعر]]</f>
        <v>36000</v>
      </c>
    </row>
    <row r="21" spans="2:9" ht="15.75" x14ac:dyDescent="0.2">
      <c r="B21" s="25" t="s">
        <v>17</v>
      </c>
      <c r="C21" s="26" t="s">
        <v>36</v>
      </c>
      <c r="D21" s="26">
        <v>120</v>
      </c>
      <c r="E21" s="27">
        <f>SUMIF(Table1[كود المنتج],Table5[[#This Row],[كود المنتج]],Table1[الكميه])</f>
        <v>80</v>
      </c>
      <c r="F21" s="27">
        <f>SUMIF(Table3[كود المنتج],Table5[[#This Row],[كود المنتج]],Table3[الكميه])</f>
        <v>9</v>
      </c>
      <c r="G21" s="27">
        <f>SUMIF(Table4[كود المنتج],Table5[[#This Row],[كود المنتج]],Table4[الكميه])</f>
        <v>4</v>
      </c>
      <c r="H21" s="28">
        <f>Table5[[#This Row],[فتح المخزن ]]+Table5[[#This Row],[ستوك المشتريات]]-G21</f>
        <v>85</v>
      </c>
      <c r="I21" s="30">
        <f>Table5[[#This Row],[موازنه المخزون]]*Table5[[#This Row],[السعر]]</f>
        <v>10200</v>
      </c>
    </row>
    <row r="22" spans="2:9" ht="15.75" x14ac:dyDescent="0.2">
      <c r="B22" s="25" t="s">
        <v>18</v>
      </c>
      <c r="C22" s="26" t="s">
        <v>37</v>
      </c>
      <c r="D22" s="26">
        <v>150</v>
      </c>
      <c r="E22" s="27">
        <f>SUMIF(Table1[كود المنتج],Table5[[#This Row],[كود المنتج]],Table1[الكميه])</f>
        <v>50</v>
      </c>
      <c r="F22" s="27">
        <f>SUMIF(Table3[كود المنتج],Table5[[#This Row],[كود المنتج]],Table3[الكميه])</f>
        <v>0</v>
      </c>
      <c r="G22" s="27">
        <f>SUMIF(Table4[كود المنتج],Table5[[#This Row],[كود المنتج]],Table4[الكميه])</f>
        <v>0</v>
      </c>
      <c r="H22" s="28">
        <f>Table5[[#This Row],[فتح المخزن ]]+Table5[[#This Row],[ستوك المشتريات]]-G22</f>
        <v>50</v>
      </c>
      <c r="I22" s="30">
        <f>Table5[[#This Row],[موازنه المخزون]]*Table5[[#This Row],[السعر]]</f>
        <v>7500</v>
      </c>
    </row>
    <row r="23" spans="2:9" ht="15.75" x14ac:dyDescent="0.2">
      <c r="B23" s="25" t="s">
        <v>19</v>
      </c>
      <c r="C23" s="26" t="s">
        <v>38</v>
      </c>
      <c r="D23" s="26">
        <v>263</v>
      </c>
      <c r="E23" s="27">
        <f>SUMIF(Table1[كود المنتج],Table5[[#This Row],[كود المنتج]],Table1[الكميه])</f>
        <v>10</v>
      </c>
      <c r="F23" s="27">
        <f>SUMIF(Table3[كود المنتج],Table5[[#This Row],[كود المنتج]],Table3[الكميه])</f>
        <v>1</v>
      </c>
      <c r="G23" s="27">
        <f>SUMIF(Table4[كود المنتج],Table5[[#This Row],[كود المنتج]],Table4[الكميه])</f>
        <v>6</v>
      </c>
      <c r="H23" s="28">
        <f>Table5[[#This Row],[فتح المخزن ]]+Table5[[#This Row],[ستوك المشتريات]]-G23</f>
        <v>5</v>
      </c>
      <c r="I23" s="30">
        <f>Table5[[#This Row],[موازنه المخزون]]*Table5[[#This Row],[السعر]]</f>
        <v>1315</v>
      </c>
    </row>
  </sheetData>
  <mergeCells count="1">
    <mergeCell ref="A6:B6"/>
  </mergeCells>
  <conditionalFormatting sqref="H9:H23">
    <cfRule type="colorScale" priority="5">
      <colorScale>
        <cfvo type="num" val="20"/>
        <cfvo type="max"/>
        <color theme="4"/>
        <color rgb="FFFFEF9C"/>
      </colorScale>
    </cfRule>
    <cfRule type="colorScale" priority="4">
      <colorScale>
        <cfvo type="num" val="&quot;&gt;20&quot;"/>
        <cfvo type="max"/>
        <color theme="8" tint="0.39997558519241921"/>
        <color rgb="FFFFEF9C"/>
      </colorScale>
    </cfRule>
    <cfRule type="cellIs" dxfId="2" priority="2" operator="greaterThan">
      <formula>50</formula>
    </cfRule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{000E7149-0B89-4803-B450-6367B1BD37AF}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E7149-0B89-4803-B450-6367B1BD37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H9:H23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openinh stock</vt:lpstr>
      <vt:lpstr>PURCHASE</vt:lpstr>
      <vt:lpstr>sales</vt:lpstr>
      <vt:lpstr>closing stock</vt:lpstr>
      <vt:lpstr>codpro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2012-01-01T11:12:04Z</dcterms:modified>
</cp:coreProperties>
</file>